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n John\Downloads\"/>
    </mc:Choice>
  </mc:AlternateContent>
  <xr:revisionPtr revIDLastSave="0" documentId="8_{D18C6F02-228E-42E1-9E6F-268B6B42C911}" xr6:coauthVersionLast="47" xr6:coauthVersionMax="47" xr10:uidLastSave="{00000000-0000-0000-0000-000000000000}"/>
  <bookViews>
    <workbookView xWindow="-108" yWindow="-108" windowWidth="23256" windowHeight="12456"/>
  </bookViews>
  <sheets>
    <sheet name="ANGELIN_(loan)(1)" sheetId="1" r:id="rId1"/>
    <sheet name="Sheet1" sheetId="2" r:id="rId2"/>
    <sheet name="Sheet2" sheetId="3" r:id="rId3"/>
    <sheet name="Sheet3" sheetId="4" r:id="rId4"/>
    <sheet name="Sheet4" sheetId="5" r:id="rId5"/>
  </sheets>
  <definedNames>
    <definedName name="_xlchart.v1.0" hidden="1">Sheet2!$A$2:$F$25</definedName>
    <definedName name="_xlchart.v1.1" hidden="1">Sheet2!$G$1</definedName>
    <definedName name="_xlchart.v1.10" hidden="1">Sheet2!$H$1</definedName>
    <definedName name="_xlchart.v1.11" hidden="1">Sheet2!$H$2:$H$25</definedName>
    <definedName name="_xlchart.v1.12" hidden="1">Sheet2!$I$1</definedName>
    <definedName name="_xlchart.v1.13" hidden="1">Sheet2!$I$2:$I$25</definedName>
    <definedName name="_xlchart.v1.14" hidden="1">Sheet2!$A$2:$F$25</definedName>
    <definedName name="_xlchart.v1.15" hidden="1">Sheet2!$G$1</definedName>
    <definedName name="_xlchart.v1.16" hidden="1">Sheet2!$G$2:$G$25</definedName>
    <definedName name="_xlchart.v1.17" hidden="1">Sheet2!$H$1</definedName>
    <definedName name="_xlchart.v1.18" hidden="1">Sheet2!$H$2:$H$25</definedName>
    <definedName name="_xlchart.v1.19" hidden="1">Sheet2!$I$1</definedName>
    <definedName name="_xlchart.v1.2" hidden="1">Sheet2!$G$2:$G$25</definedName>
    <definedName name="_xlchart.v1.20" hidden="1">Sheet2!$I$2:$I$25</definedName>
    <definedName name="_xlchart.v1.21" hidden="1">Sheet2!$A$3:$F$25</definedName>
    <definedName name="_xlchart.v1.22" hidden="1">Sheet2!$G$1:$G$2</definedName>
    <definedName name="_xlchart.v1.23" hidden="1">Sheet2!$G$3:$G$25</definedName>
    <definedName name="_xlchart.v1.24" hidden="1">Sheet2!$H$1:$H$2</definedName>
    <definedName name="_xlchart.v1.25" hidden="1">Sheet2!$H$3:$H$25</definedName>
    <definedName name="_xlchart.v1.26" hidden="1">Sheet2!$I$1:$I$2</definedName>
    <definedName name="_xlchart.v1.27" hidden="1">Sheet2!$I$3:$I$25</definedName>
    <definedName name="_xlchart.v1.3" hidden="1">Sheet2!$H$1</definedName>
    <definedName name="_xlchart.v1.4" hidden="1">Sheet2!$H$2:$H$25</definedName>
    <definedName name="_xlchart.v1.5" hidden="1">Sheet2!$I$1</definedName>
    <definedName name="_xlchart.v1.6" hidden="1">Sheet2!$I$2:$I$25</definedName>
    <definedName name="_xlchart.v1.7" hidden="1">Sheet2!$A$2:$F$25</definedName>
    <definedName name="_xlchart.v1.8" hidden="1">Sheet2!$G$1</definedName>
    <definedName name="_xlchart.v1.9" hidden="1">Sheet2!$G$2:$G$25</definedName>
  </definedNames>
  <calcPr calcId="0"/>
</workbook>
</file>

<file path=xl/calcChain.xml><?xml version="1.0" encoding="utf-8"?>
<calcChain xmlns="http://schemas.openxmlformats.org/spreadsheetml/2006/main">
  <c r="L6" i="2" l="1"/>
  <c r="L5" i="2"/>
  <c r="L4" i="2"/>
  <c r="L3" i="2"/>
</calcChain>
</file>

<file path=xl/sharedStrings.xml><?xml version="1.0" encoding="utf-8"?>
<sst xmlns="http://schemas.openxmlformats.org/spreadsheetml/2006/main" count="617" uniqueCount="47">
  <si>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</si>
  <si>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</si>
  <si>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</si>
  <si>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</si>
  <si>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</si>
  <si>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</si>
  <si>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</si>
  <si>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</si>
  <si>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</si>
  <si>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LP001002</t>
  </si>
  <si>
    <t>Male</t>
  </si>
  <si>
    <t>No</t>
  </si>
  <si>
    <t>Graduate</t>
  </si>
  <si>
    <t>LP001003</t>
  </si>
  <si>
    <t>Yes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</si>
  <si>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</si>
  <si>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</si>
  <si>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</si>
  <si>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</si>
  <si>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</si>
  <si>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</si>
  <si>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</si>
  <si>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</si>
  <si>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</si>
  <si>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</si>
  <si>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</si>
  <si>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</si>
  <si>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</si>
  <si>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</si>
  <si>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</si>
  <si>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</si>
  <si>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</si>
  <si>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</si>
  <si>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</si>
  <si>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</si>
  <si>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</si>
  <si>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</si>
  <si>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</si>
  <si>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</si>
  <si>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</si>
  <si>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SUM</t>
  </si>
  <si>
    <t>AVERAGE</t>
  </si>
  <si>
    <t>MODE</t>
  </si>
  <si>
    <t>MEDIAN</t>
  </si>
  <si>
    <t>HERE I HAVE SORTED THE COLOUMN "APPLICANTINCOME"</t>
  </si>
  <si>
    <t>GRADUATE=1</t>
  </si>
  <si>
    <t>NOT GRADUATE=2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</si>
</sst>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BAR</a:t>
            </a:r>
            <a:r>
              <a:rPr lang="en-IN" baseline="0"/>
              <a:t> CHART FOR LOAN DATASET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cat>
          <c:val>
            <c:numRef>
              <c:f>Sheet2!$G$2:$G$25</c:f>
              <c:numCache>
                <c:formatCode>General</c:formatCode>
                <c:ptCount val="24"/>
                <c:pt idx="0">
                  <c:v>5849</c:v>
                </c:pt>
                <c:pt idx="1">
                  <c:v>4583</c:v>
                </c:pt>
                <c:pt idx="2">
                  <c:v>3000</c:v>
                </c:pt>
                <c:pt idx="3">
                  <c:v>2583</c:v>
                </c:pt>
                <c:pt idx="4">
                  <c:v>6000</c:v>
                </c:pt>
                <c:pt idx="5">
                  <c:v>5417</c:v>
                </c:pt>
                <c:pt idx="6">
                  <c:v>2333</c:v>
                </c:pt>
                <c:pt idx="7">
                  <c:v>3036</c:v>
                </c:pt>
                <c:pt idx="8">
                  <c:v>4006</c:v>
                </c:pt>
                <c:pt idx="9">
                  <c:v>12841</c:v>
                </c:pt>
                <c:pt idx="10">
                  <c:v>3200</c:v>
                </c:pt>
                <c:pt idx="11">
                  <c:v>2500</c:v>
                </c:pt>
                <c:pt idx="12">
                  <c:v>3073</c:v>
                </c:pt>
                <c:pt idx="13">
                  <c:v>1853</c:v>
                </c:pt>
                <c:pt idx="14">
                  <c:v>1299</c:v>
                </c:pt>
                <c:pt idx="15">
                  <c:v>4950</c:v>
                </c:pt>
                <c:pt idx="16">
                  <c:v>3596</c:v>
                </c:pt>
                <c:pt idx="17">
                  <c:v>3510</c:v>
                </c:pt>
                <c:pt idx="18">
                  <c:v>4887</c:v>
                </c:pt>
                <c:pt idx="19">
                  <c:v>2600</c:v>
                </c:pt>
                <c:pt idx="20">
                  <c:v>7660</c:v>
                </c:pt>
                <c:pt idx="21">
                  <c:v>5955</c:v>
                </c:pt>
                <c:pt idx="22">
                  <c:v>2600</c:v>
                </c:pt>
                <c:pt idx="23">
                  <c:v>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D-466E-A375-B2A9AF2447AC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cat>
          <c:val>
            <c:numRef>
              <c:f>Sheet2!$H$2:$H$25</c:f>
              <c:numCache>
                <c:formatCode>General</c:formatCode>
                <c:ptCount val="24"/>
                <c:pt idx="0">
                  <c:v>0</c:v>
                </c:pt>
                <c:pt idx="1">
                  <c:v>1508</c:v>
                </c:pt>
                <c:pt idx="2">
                  <c:v>0</c:v>
                </c:pt>
                <c:pt idx="3">
                  <c:v>2358</c:v>
                </c:pt>
                <c:pt idx="4">
                  <c:v>0</c:v>
                </c:pt>
                <c:pt idx="5">
                  <c:v>4196</c:v>
                </c:pt>
                <c:pt idx="6">
                  <c:v>1516</c:v>
                </c:pt>
                <c:pt idx="7">
                  <c:v>2504</c:v>
                </c:pt>
                <c:pt idx="8">
                  <c:v>1526</c:v>
                </c:pt>
                <c:pt idx="9">
                  <c:v>10968</c:v>
                </c:pt>
                <c:pt idx="10">
                  <c:v>700</c:v>
                </c:pt>
                <c:pt idx="11">
                  <c:v>1840</c:v>
                </c:pt>
                <c:pt idx="12">
                  <c:v>8106</c:v>
                </c:pt>
                <c:pt idx="13">
                  <c:v>2840</c:v>
                </c:pt>
                <c:pt idx="14">
                  <c:v>1086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3500</c:v>
                </c:pt>
                <c:pt idx="20">
                  <c:v>0</c:v>
                </c:pt>
                <c:pt idx="21">
                  <c:v>5625</c:v>
                </c:pt>
                <c:pt idx="22">
                  <c:v>1911</c:v>
                </c:pt>
                <c:pt idx="23">
                  <c:v>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D-466E-A375-B2A9AF2447AC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cat>
          <c:val>
            <c:numRef>
              <c:f>Sheet2!$I$2:$I$25</c:f>
              <c:numCache>
                <c:formatCode>General</c:formatCode>
                <c:ptCount val="24"/>
                <c:pt idx="1">
                  <c:v>128</c:v>
                </c:pt>
                <c:pt idx="2">
                  <c:v>66</c:v>
                </c:pt>
                <c:pt idx="3">
                  <c:v>120</c:v>
                </c:pt>
                <c:pt idx="4">
                  <c:v>141</c:v>
                </c:pt>
                <c:pt idx="5">
                  <c:v>267</c:v>
                </c:pt>
                <c:pt idx="6">
                  <c:v>95</c:v>
                </c:pt>
                <c:pt idx="7">
                  <c:v>158</c:v>
                </c:pt>
                <c:pt idx="8">
                  <c:v>168</c:v>
                </c:pt>
                <c:pt idx="9">
                  <c:v>349</c:v>
                </c:pt>
                <c:pt idx="10">
                  <c:v>70</c:v>
                </c:pt>
                <c:pt idx="11">
                  <c:v>109</c:v>
                </c:pt>
                <c:pt idx="12">
                  <c:v>200</c:v>
                </c:pt>
                <c:pt idx="13">
                  <c:v>114</c:v>
                </c:pt>
                <c:pt idx="14">
                  <c:v>17</c:v>
                </c:pt>
                <c:pt idx="15">
                  <c:v>125</c:v>
                </c:pt>
                <c:pt idx="16">
                  <c:v>100</c:v>
                </c:pt>
                <c:pt idx="17">
                  <c:v>76</c:v>
                </c:pt>
                <c:pt idx="18">
                  <c:v>133</c:v>
                </c:pt>
                <c:pt idx="19">
                  <c:v>115</c:v>
                </c:pt>
                <c:pt idx="20">
                  <c:v>104</c:v>
                </c:pt>
                <c:pt idx="21">
                  <c:v>315</c:v>
                </c:pt>
                <c:pt idx="22">
                  <c:v>116</c:v>
                </c:pt>
                <c:pt idx="23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D-466E-A375-B2A9AF244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01800031"/>
        <c:axId val="1937081215"/>
      </c:barChart>
      <c:catAx>
        <c:axId val="30180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081215"/>
        <c:crosses val="autoZero"/>
        <c:auto val="1"/>
        <c:lblAlgn val="ctr"/>
        <c:lblOffset val="100"/>
        <c:noMultiLvlLbl val="0"/>
      </c:catAx>
      <c:valAx>
        <c:axId val="193708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0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AREA CHART FOR LOAN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ApplicantIncome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cat>
          <c:val>
            <c:numRef>
              <c:f>Sheet2!$G$2:$G$25</c:f>
              <c:numCache>
                <c:formatCode>General</c:formatCode>
                <c:ptCount val="24"/>
                <c:pt idx="0">
                  <c:v>5849</c:v>
                </c:pt>
                <c:pt idx="1">
                  <c:v>4583</c:v>
                </c:pt>
                <c:pt idx="2">
                  <c:v>3000</c:v>
                </c:pt>
                <c:pt idx="3">
                  <c:v>2583</c:v>
                </c:pt>
                <c:pt idx="4">
                  <c:v>6000</c:v>
                </c:pt>
                <c:pt idx="5">
                  <c:v>5417</c:v>
                </c:pt>
                <c:pt idx="6">
                  <c:v>2333</c:v>
                </c:pt>
                <c:pt idx="7">
                  <c:v>3036</c:v>
                </c:pt>
                <c:pt idx="8">
                  <c:v>4006</c:v>
                </c:pt>
                <c:pt idx="9">
                  <c:v>12841</c:v>
                </c:pt>
                <c:pt idx="10">
                  <c:v>3200</c:v>
                </c:pt>
                <c:pt idx="11">
                  <c:v>2500</c:v>
                </c:pt>
                <c:pt idx="12">
                  <c:v>3073</c:v>
                </c:pt>
                <c:pt idx="13">
                  <c:v>1853</c:v>
                </c:pt>
                <c:pt idx="14">
                  <c:v>1299</c:v>
                </c:pt>
                <c:pt idx="15">
                  <c:v>4950</c:v>
                </c:pt>
                <c:pt idx="16">
                  <c:v>3596</c:v>
                </c:pt>
                <c:pt idx="17">
                  <c:v>3510</c:v>
                </c:pt>
                <c:pt idx="18">
                  <c:v>4887</c:v>
                </c:pt>
                <c:pt idx="19">
                  <c:v>2600</c:v>
                </c:pt>
                <c:pt idx="20">
                  <c:v>7660</c:v>
                </c:pt>
                <c:pt idx="21">
                  <c:v>5955</c:v>
                </c:pt>
                <c:pt idx="22">
                  <c:v>2600</c:v>
                </c:pt>
                <c:pt idx="23">
                  <c:v>3365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C-4927-9464-64DD804F04F0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CoapplicantIncome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cat>
          <c:val>
            <c:numRef>
              <c:f>Sheet2!$H$2:$H$25</c:f>
              <c:numCache>
                <c:formatCode>General</c:formatCode>
                <c:ptCount val="24"/>
                <c:pt idx="0">
                  <c:v>0</c:v>
                </c:pt>
                <c:pt idx="1">
                  <c:v>1508</c:v>
                </c:pt>
                <c:pt idx="2">
                  <c:v>0</c:v>
                </c:pt>
                <c:pt idx="3">
                  <c:v>2358</c:v>
                </c:pt>
                <c:pt idx="4">
                  <c:v>0</c:v>
                </c:pt>
                <c:pt idx="5">
                  <c:v>4196</c:v>
                </c:pt>
                <c:pt idx="6">
                  <c:v>1516</c:v>
                </c:pt>
                <c:pt idx="7">
                  <c:v>2504</c:v>
                </c:pt>
                <c:pt idx="8">
                  <c:v>1526</c:v>
                </c:pt>
                <c:pt idx="9">
                  <c:v>10968</c:v>
                </c:pt>
                <c:pt idx="10">
                  <c:v>700</c:v>
                </c:pt>
                <c:pt idx="11">
                  <c:v>1840</c:v>
                </c:pt>
                <c:pt idx="12">
                  <c:v>8106</c:v>
                </c:pt>
                <c:pt idx="13">
                  <c:v>2840</c:v>
                </c:pt>
                <c:pt idx="14">
                  <c:v>1086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3500</c:v>
                </c:pt>
                <c:pt idx="20">
                  <c:v>0</c:v>
                </c:pt>
                <c:pt idx="21">
                  <c:v>5625</c:v>
                </c:pt>
                <c:pt idx="22">
                  <c:v>1911</c:v>
                </c:pt>
                <c:pt idx="23">
                  <c:v>1917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1C-4927-9464-64DD804F04F0}"/>
            </c:ext>
          </c:extLst>
        </c:ser>
        <c:ser>
          <c:idx val="2"/>
          <c:order val="2"/>
          <c:tx>
            <c:strRef>
              <c:f>Sheet2!$I$1</c:f>
              <c:strCache>
                <c:ptCount val="1"/>
                <c:pt idx="0">
                  <c:v>LoanAmount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cat>
          <c:val>
            <c:numRef>
              <c:f>Sheet2!$I$2:$I$25</c:f>
              <c:numCache>
                <c:formatCode>General</c:formatCode>
                <c:ptCount val="24"/>
                <c:pt idx="1">
                  <c:v>128</c:v>
                </c:pt>
                <c:pt idx="2">
                  <c:v>66</c:v>
                </c:pt>
                <c:pt idx="3">
                  <c:v>120</c:v>
                </c:pt>
                <c:pt idx="4">
                  <c:v>141</c:v>
                </c:pt>
                <c:pt idx="5">
                  <c:v>267</c:v>
                </c:pt>
                <c:pt idx="6">
                  <c:v>95</c:v>
                </c:pt>
                <c:pt idx="7">
                  <c:v>158</c:v>
                </c:pt>
                <c:pt idx="8">
                  <c:v>168</c:v>
                </c:pt>
                <c:pt idx="9">
                  <c:v>349</c:v>
                </c:pt>
                <c:pt idx="10">
                  <c:v>70</c:v>
                </c:pt>
                <c:pt idx="11">
                  <c:v>109</c:v>
                </c:pt>
                <c:pt idx="12">
                  <c:v>200</c:v>
                </c:pt>
                <c:pt idx="13">
                  <c:v>114</c:v>
                </c:pt>
                <c:pt idx="14">
                  <c:v>17</c:v>
                </c:pt>
                <c:pt idx="15">
                  <c:v>125</c:v>
                </c:pt>
                <c:pt idx="16">
                  <c:v>100</c:v>
                </c:pt>
                <c:pt idx="17">
                  <c:v>76</c:v>
                </c:pt>
                <c:pt idx="18">
                  <c:v>133</c:v>
                </c:pt>
                <c:pt idx="19">
                  <c:v>115</c:v>
                </c:pt>
                <c:pt idx="20">
                  <c:v>104</c:v>
                </c:pt>
                <c:pt idx="21">
                  <c:v>315</c:v>
                </c:pt>
                <c:pt idx="22">
                  <c:v>116</c:v>
                </c:pt>
                <c:pt idx="23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1C-4927-9464-64DD804F0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3125311"/>
        <c:axId val="2111328735"/>
      </c:lineChart>
      <c:catAx>
        <c:axId val="37312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328735"/>
        <c:crosses val="autoZero"/>
        <c:auto val="1"/>
        <c:lblAlgn val="ctr"/>
        <c:lblOffset val="100"/>
        <c:noMultiLvlLbl val="0"/>
      </c:catAx>
      <c:valAx>
        <c:axId val="211132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12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PIE CHART FOR LOAN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Sheet2!$G$1</c:f>
              <c:strCache>
                <c:ptCount val="1"/>
                <c:pt idx="0">
                  <c:v>ApplicantIncome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cat>
          <c:val>
            <c:numRef>
              <c:f>Sheet2!$G$2:$G$25</c:f>
              <c:numCache>
                <c:formatCode>General</c:formatCode>
                <c:ptCount val="24"/>
                <c:pt idx="0">
                  <c:v>5849</c:v>
                </c:pt>
                <c:pt idx="1">
                  <c:v>4583</c:v>
                </c:pt>
                <c:pt idx="2">
                  <c:v>3000</c:v>
                </c:pt>
                <c:pt idx="3">
                  <c:v>2583</c:v>
                </c:pt>
                <c:pt idx="4">
                  <c:v>6000</c:v>
                </c:pt>
                <c:pt idx="5">
                  <c:v>5417</c:v>
                </c:pt>
                <c:pt idx="6">
                  <c:v>2333</c:v>
                </c:pt>
                <c:pt idx="7">
                  <c:v>3036</c:v>
                </c:pt>
                <c:pt idx="8">
                  <c:v>4006</c:v>
                </c:pt>
                <c:pt idx="9">
                  <c:v>12841</c:v>
                </c:pt>
                <c:pt idx="10">
                  <c:v>3200</c:v>
                </c:pt>
                <c:pt idx="11">
                  <c:v>2500</c:v>
                </c:pt>
                <c:pt idx="12">
                  <c:v>3073</c:v>
                </c:pt>
                <c:pt idx="13">
                  <c:v>1853</c:v>
                </c:pt>
                <c:pt idx="14">
                  <c:v>1299</c:v>
                </c:pt>
                <c:pt idx="15">
                  <c:v>4950</c:v>
                </c:pt>
                <c:pt idx="16">
                  <c:v>3596</c:v>
                </c:pt>
                <c:pt idx="17">
                  <c:v>3510</c:v>
                </c:pt>
                <c:pt idx="18">
                  <c:v>4887</c:v>
                </c:pt>
                <c:pt idx="19">
                  <c:v>2600</c:v>
                </c:pt>
                <c:pt idx="20">
                  <c:v>7660</c:v>
                </c:pt>
                <c:pt idx="21">
                  <c:v>5955</c:v>
                </c:pt>
                <c:pt idx="22">
                  <c:v>2600</c:v>
                </c:pt>
                <c:pt idx="23">
                  <c:v>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9-4F15-B239-B519B0ECDF83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CoapplicantIncome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cat>
          <c:val>
            <c:numRef>
              <c:f>Sheet2!$H$2:$H$25</c:f>
              <c:numCache>
                <c:formatCode>General</c:formatCode>
                <c:ptCount val="24"/>
                <c:pt idx="0">
                  <c:v>0</c:v>
                </c:pt>
                <c:pt idx="1">
                  <c:v>1508</c:v>
                </c:pt>
                <c:pt idx="2">
                  <c:v>0</c:v>
                </c:pt>
                <c:pt idx="3">
                  <c:v>2358</c:v>
                </c:pt>
                <c:pt idx="4">
                  <c:v>0</c:v>
                </c:pt>
                <c:pt idx="5">
                  <c:v>4196</c:v>
                </c:pt>
                <c:pt idx="6">
                  <c:v>1516</c:v>
                </c:pt>
                <c:pt idx="7">
                  <c:v>2504</c:v>
                </c:pt>
                <c:pt idx="8">
                  <c:v>1526</c:v>
                </c:pt>
                <c:pt idx="9">
                  <c:v>10968</c:v>
                </c:pt>
                <c:pt idx="10">
                  <c:v>700</c:v>
                </c:pt>
                <c:pt idx="11">
                  <c:v>1840</c:v>
                </c:pt>
                <c:pt idx="12">
                  <c:v>8106</c:v>
                </c:pt>
                <c:pt idx="13">
                  <c:v>2840</c:v>
                </c:pt>
                <c:pt idx="14">
                  <c:v>1086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3500</c:v>
                </c:pt>
                <c:pt idx="20">
                  <c:v>0</c:v>
                </c:pt>
                <c:pt idx="21">
                  <c:v>5625</c:v>
                </c:pt>
                <c:pt idx="22">
                  <c:v>1911</c:v>
                </c:pt>
                <c:pt idx="23">
                  <c:v>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19-4F15-B239-B519B0ECDF83}"/>
            </c:ext>
          </c:extLst>
        </c:ser>
        <c:ser>
          <c:idx val="2"/>
          <c:order val="2"/>
          <c:tx>
            <c:strRef>
              <c:f>Sheet2!$I$1</c:f>
              <c:strCache>
                <c:ptCount val="1"/>
                <c:pt idx="0">
                  <c:v>LoanAmount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cat>
          <c:val>
            <c:numRef>
              <c:f>Sheet2!$I$2:$I$25</c:f>
              <c:numCache>
                <c:formatCode>General</c:formatCode>
                <c:ptCount val="24"/>
                <c:pt idx="1">
                  <c:v>128</c:v>
                </c:pt>
                <c:pt idx="2">
                  <c:v>66</c:v>
                </c:pt>
                <c:pt idx="3">
                  <c:v>120</c:v>
                </c:pt>
                <c:pt idx="4">
                  <c:v>141</c:v>
                </c:pt>
                <c:pt idx="5">
                  <c:v>267</c:v>
                </c:pt>
                <c:pt idx="6">
                  <c:v>95</c:v>
                </c:pt>
                <c:pt idx="7">
                  <c:v>158</c:v>
                </c:pt>
                <c:pt idx="8">
                  <c:v>168</c:v>
                </c:pt>
                <c:pt idx="9">
                  <c:v>349</c:v>
                </c:pt>
                <c:pt idx="10">
                  <c:v>70</c:v>
                </c:pt>
                <c:pt idx="11">
                  <c:v>109</c:v>
                </c:pt>
                <c:pt idx="12">
                  <c:v>200</c:v>
                </c:pt>
                <c:pt idx="13">
                  <c:v>114</c:v>
                </c:pt>
                <c:pt idx="14">
                  <c:v>17</c:v>
                </c:pt>
                <c:pt idx="15">
                  <c:v>125</c:v>
                </c:pt>
                <c:pt idx="16">
                  <c:v>100</c:v>
                </c:pt>
                <c:pt idx="17">
                  <c:v>76</c:v>
                </c:pt>
                <c:pt idx="18">
                  <c:v>133</c:v>
                </c:pt>
                <c:pt idx="19">
                  <c:v>115</c:v>
                </c:pt>
                <c:pt idx="20">
                  <c:v>104</c:v>
                </c:pt>
                <c:pt idx="21">
                  <c:v>315</c:v>
                </c:pt>
                <c:pt idx="22">
                  <c:v>116</c:v>
                </c:pt>
                <c:pt idx="23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19-4F15-B239-B519B0ECD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 CHART FOR LOAN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ApplicantIncome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xVal>
          <c:yVal>
            <c:numRef>
              <c:f>Sheet2!$G$2:$G$25</c:f>
              <c:numCache>
                <c:formatCode>General</c:formatCode>
                <c:ptCount val="24"/>
                <c:pt idx="0">
                  <c:v>5849</c:v>
                </c:pt>
                <c:pt idx="1">
                  <c:v>4583</c:v>
                </c:pt>
                <c:pt idx="2">
                  <c:v>3000</c:v>
                </c:pt>
                <c:pt idx="3">
                  <c:v>2583</c:v>
                </c:pt>
                <c:pt idx="4">
                  <c:v>6000</c:v>
                </c:pt>
                <c:pt idx="5">
                  <c:v>5417</c:v>
                </c:pt>
                <c:pt idx="6">
                  <c:v>2333</c:v>
                </c:pt>
                <c:pt idx="7">
                  <c:v>3036</c:v>
                </c:pt>
                <c:pt idx="8">
                  <c:v>4006</c:v>
                </c:pt>
                <c:pt idx="9">
                  <c:v>12841</c:v>
                </c:pt>
                <c:pt idx="10">
                  <c:v>3200</c:v>
                </c:pt>
                <c:pt idx="11">
                  <c:v>2500</c:v>
                </c:pt>
                <c:pt idx="12">
                  <c:v>3073</c:v>
                </c:pt>
                <c:pt idx="13">
                  <c:v>1853</c:v>
                </c:pt>
                <c:pt idx="14">
                  <c:v>1299</c:v>
                </c:pt>
                <c:pt idx="15">
                  <c:v>4950</c:v>
                </c:pt>
                <c:pt idx="16">
                  <c:v>3596</c:v>
                </c:pt>
                <c:pt idx="17">
                  <c:v>3510</c:v>
                </c:pt>
                <c:pt idx="18">
                  <c:v>4887</c:v>
                </c:pt>
                <c:pt idx="19">
                  <c:v>2600</c:v>
                </c:pt>
                <c:pt idx="20">
                  <c:v>7660</c:v>
                </c:pt>
                <c:pt idx="21">
                  <c:v>5955</c:v>
                </c:pt>
                <c:pt idx="22">
                  <c:v>2600</c:v>
                </c:pt>
                <c:pt idx="23">
                  <c:v>3365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1-4537-A699-1040FE01E5EA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CoapplicantIncome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xVal>
          <c:yVal>
            <c:numRef>
              <c:f>Sheet2!$H$2:$H$25</c:f>
              <c:numCache>
                <c:formatCode>General</c:formatCode>
                <c:ptCount val="24"/>
                <c:pt idx="0">
                  <c:v>0</c:v>
                </c:pt>
                <c:pt idx="1">
                  <c:v>1508</c:v>
                </c:pt>
                <c:pt idx="2">
                  <c:v>0</c:v>
                </c:pt>
                <c:pt idx="3">
                  <c:v>2358</c:v>
                </c:pt>
                <c:pt idx="4">
                  <c:v>0</c:v>
                </c:pt>
                <c:pt idx="5">
                  <c:v>4196</c:v>
                </c:pt>
                <c:pt idx="6">
                  <c:v>1516</c:v>
                </c:pt>
                <c:pt idx="7">
                  <c:v>2504</c:v>
                </c:pt>
                <c:pt idx="8">
                  <c:v>1526</c:v>
                </c:pt>
                <c:pt idx="9">
                  <c:v>10968</c:v>
                </c:pt>
                <c:pt idx="10">
                  <c:v>700</c:v>
                </c:pt>
                <c:pt idx="11">
                  <c:v>1840</c:v>
                </c:pt>
                <c:pt idx="12">
                  <c:v>8106</c:v>
                </c:pt>
                <c:pt idx="13">
                  <c:v>2840</c:v>
                </c:pt>
                <c:pt idx="14">
                  <c:v>1086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3500</c:v>
                </c:pt>
                <c:pt idx="20">
                  <c:v>0</c:v>
                </c:pt>
                <c:pt idx="21">
                  <c:v>5625</c:v>
                </c:pt>
                <c:pt idx="22">
                  <c:v>1911</c:v>
                </c:pt>
                <c:pt idx="23">
                  <c:v>1917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01-4537-A699-1040FE01E5EA}"/>
            </c:ext>
          </c:extLst>
        </c:ser>
        <c:ser>
          <c:idx val="2"/>
          <c:order val="2"/>
          <c:tx>
            <c:strRef>
              <c:f>Sheet2!$I$1</c:f>
              <c:strCache>
                <c:ptCount val="1"/>
                <c:pt idx="0">
                  <c:v>LoanAmount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xVal>
          <c:yVal>
            <c:numRef>
              <c:f>Sheet2!$I$2:$I$25</c:f>
              <c:numCache>
                <c:formatCode>General</c:formatCode>
                <c:ptCount val="24"/>
                <c:pt idx="1">
                  <c:v>128</c:v>
                </c:pt>
                <c:pt idx="2">
                  <c:v>66</c:v>
                </c:pt>
                <c:pt idx="3">
                  <c:v>120</c:v>
                </c:pt>
                <c:pt idx="4">
                  <c:v>141</c:v>
                </c:pt>
                <c:pt idx="5">
                  <c:v>267</c:v>
                </c:pt>
                <c:pt idx="6">
                  <c:v>95</c:v>
                </c:pt>
                <c:pt idx="7">
                  <c:v>158</c:v>
                </c:pt>
                <c:pt idx="8">
                  <c:v>168</c:v>
                </c:pt>
                <c:pt idx="9">
                  <c:v>349</c:v>
                </c:pt>
                <c:pt idx="10">
                  <c:v>70</c:v>
                </c:pt>
                <c:pt idx="11">
                  <c:v>109</c:v>
                </c:pt>
                <c:pt idx="12">
                  <c:v>200</c:v>
                </c:pt>
                <c:pt idx="13">
                  <c:v>114</c:v>
                </c:pt>
                <c:pt idx="14">
                  <c:v>17</c:v>
                </c:pt>
                <c:pt idx="15">
                  <c:v>125</c:v>
                </c:pt>
                <c:pt idx="16">
                  <c:v>100</c:v>
                </c:pt>
                <c:pt idx="17">
                  <c:v>76</c:v>
                </c:pt>
                <c:pt idx="18">
                  <c:v>133</c:v>
                </c:pt>
                <c:pt idx="19">
                  <c:v>115</c:v>
                </c:pt>
                <c:pt idx="20">
                  <c:v>104</c:v>
                </c:pt>
                <c:pt idx="21">
                  <c:v>315</c:v>
                </c:pt>
                <c:pt idx="22">
                  <c:v>116</c:v>
                </c:pt>
                <c:pt idx="23">
                  <c:v>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01-4537-A699-1040FE01E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802351"/>
        <c:axId val="462129135"/>
      </c:scatterChart>
      <c:valAx>
        <c:axId val="30180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129135"/>
        <c:crosses val="autoZero"/>
        <c:crossBetween val="midCat"/>
      </c:valAx>
      <c:valAx>
        <c:axId val="4621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802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INSERT COMBO</a:t>
            </a:r>
            <a:r>
              <a:rPr lang="en-IN" baseline="0"/>
              <a:t> CHART LOAN DATASET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Sheet2!$G$1</c:f>
              <c:strCache>
                <c:ptCount val="1"/>
                <c:pt idx="0">
                  <c:v>ApplicantIncome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cat>
          <c:val>
            <c:numRef>
              <c:f>Sheet2!$G$2:$G$25</c:f>
              <c:numCache>
                <c:formatCode>General</c:formatCode>
                <c:ptCount val="24"/>
                <c:pt idx="0">
                  <c:v>5849</c:v>
                </c:pt>
                <c:pt idx="1">
                  <c:v>4583</c:v>
                </c:pt>
                <c:pt idx="2">
                  <c:v>3000</c:v>
                </c:pt>
                <c:pt idx="3">
                  <c:v>2583</c:v>
                </c:pt>
                <c:pt idx="4">
                  <c:v>6000</c:v>
                </c:pt>
                <c:pt idx="5">
                  <c:v>5417</c:v>
                </c:pt>
                <c:pt idx="6">
                  <c:v>2333</c:v>
                </c:pt>
                <c:pt idx="7">
                  <c:v>3036</c:v>
                </c:pt>
                <c:pt idx="8">
                  <c:v>4006</c:v>
                </c:pt>
                <c:pt idx="9">
                  <c:v>12841</c:v>
                </c:pt>
                <c:pt idx="10">
                  <c:v>3200</c:v>
                </c:pt>
                <c:pt idx="11">
                  <c:v>2500</c:v>
                </c:pt>
                <c:pt idx="12">
                  <c:v>3073</c:v>
                </c:pt>
                <c:pt idx="13">
                  <c:v>1853</c:v>
                </c:pt>
                <c:pt idx="14">
                  <c:v>1299</c:v>
                </c:pt>
                <c:pt idx="15">
                  <c:v>4950</c:v>
                </c:pt>
                <c:pt idx="16">
                  <c:v>3596</c:v>
                </c:pt>
                <c:pt idx="17">
                  <c:v>3510</c:v>
                </c:pt>
                <c:pt idx="18">
                  <c:v>4887</c:v>
                </c:pt>
                <c:pt idx="19">
                  <c:v>2600</c:v>
                </c:pt>
                <c:pt idx="20">
                  <c:v>7660</c:v>
                </c:pt>
                <c:pt idx="21">
                  <c:v>5955</c:v>
                </c:pt>
                <c:pt idx="22">
                  <c:v>2600</c:v>
                </c:pt>
                <c:pt idx="23">
                  <c:v>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A-4A74-8360-0DC463EEE713}"/>
            </c:ext>
          </c:extLst>
        </c:ser>
        <c:ser>
          <c:idx val="1"/>
          <c:order val="1"/>
          <c:tx>
            <c:strRef>
              <c:f>Sheet2!$H$1</c:f>
              <c:strCache>
                <c:ptCount val="1"/>
                <c:pt idx="0">
                  <c:v>CoapplicantIncome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cat>
          <c:val>
            <c:numRef>
              <c:f>Sheet2!$H$2:$H$25</c:f>
              <c:numCache>
                <c:formatCode>General</c:formatCode>
                <c:ptCount val="24"/>
                <c:pt idx="0">
                  <c:v>0</c:v>
                </c:pt>
                <c:pt idx="1">
                  <c:v>1508</c:v>
                </c:pt>
                <c:pt idx="2">
                  <c:v>0</c:v>
                </c:pt>
                <c:pt idx="3">
                  <c:v>2358</c:v>
                </c:pt>
                <c:pt idx="4">
                  <c:v>0</c:v>
                </c:pt>
                <c:pt idx="5">
                  <c:v>4196</c:v>
                </c:pt>
                <c:pt idx="6">
                  <c:v>1516</c:v>
                </c:pt>
                <c:pt idx="7">
                  <c:v>2504</c:v>
                </c:pt>
                <c:pt idx="8">
                  <c:v>1526</c:v>
                </c:pt>
                <c:pt idx="9">
                  <c:v>10968</c:v>
                </c:pt>
                <c:pt idx="10">
                  <c:v>700</c:v>
                </c:pt>
                <c:pt idx="11">
                  <c:v>1840</c:v>
                </c:pt>
                <c:pt idx="12">
                  <c:v>8106</c:v>
                </c:pt>
                <c:pt idx="13">
                  <c:v>2840</c:v>
                </c:pt>
                <c:pt idx="14">
                  <c:v>1086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3500</c:v>
                </c:pt>
                <c:pt idx="20">
                  <c:v>0</c:v>
                </c:pt>
                <c:pt idx="21">
                  <c:v>5625</c:v>
                </c:pt>
                <c:pt idx="22">
                  <c:v>1911</c:v>
                </c:pt>
                <c:pt idx="23">
                  <c:v>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EA-4A74-8360-0DC463EEE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678255"/>
        <c:axId val="464112639"/>
      </c:barChart>
      <c:lineChart>
        <c:grouping val="standard"/>
        <c:varyColors val="0"/>
        <c:ser>
          <c:idx val="2"/>
          <c:order val="2"/>
          <c:tx>
            <c:strRef>
              <c:f>Sheet2!$I$1</c:f>
              <c:strCache>
                <c:ptCount val="1"/>
                <c:pt idx="0">
                  <c:v>LoanAmount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Sheet2!$A$2:$F$25</c:f>
              <c:multiLvlStrCache>
                <c:ptCount val="24"/>
                <c:lvl>
                  <c:pt idx="0">
                    <c:v>No</c:v>
                  </c:pt>
                  <c:pt idx="1">
                    <c:v>No</c:v>
                  </c:pt>
                  <c:pt idx="2">
                    <c:v>Yes</c:v>
                  </c:pt>
                  <c:pt idx="3">
                    <c:v>No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</c:lvl>
                <c:lvl>
                  <c:pt idx="0">
                    <c:v>Graduate</c:v>
                  </c:pt>
                  <c:pt idx="1">
                    <c:v>Graduate</c:v>
                  </c:pt>
                  <c:pt idx="2">
                    <c:v>Graduate</c:v>
                  </c:pt>
                  <c:pt idx="3">
                    <c:v>Not Graduate</c:v>
                  </c:pt>
                  <c:pt idx="4">
                    <c:v>Graduate</c:v>
                  </c:pt>
                  <c:pt idx="5">
                    <c:v>Graduate</c:v>
                  </c:pt>
                  <c:pt idx="6">
                    <c:v>Not Graduate</c:v>
                  </c:pt>
                  <c:pt idx="7">
                    <c:v>Graduate</c:v>
                  </c:pt>
                  <c:pt idx="8">
                    <c:v>Graduate</c:v>
                  </c:pt>
                  <c:pt idx="9">
                    <c:v>Graduate</c:v>
                  </c:pt>
                  <c:pt idx="10">
                    <c:v>Graduate</c:v>
                  </c:pt>
                  <c:pt idx="11">
                    <c:v>Graduate</c:v>
                  </c:pt>
                  <c:pt idx="12">
                    <c:v>Graduate</c:v>
                  </c:pt>
                  <c:pt idx="13">
                    <c:v>Graduate</c:v>
                  </c:pt>
                  <c:pt idx="14">
                    <c:v>Graduate</c:v>
                  </c:pt>
                  <c:pt idx="15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8">
                    <c:v>Not Graduate</c:v>
                  </c:pt>
                  <c:pt idx="19">
                    <c:v>Graduate</c:v>
                  </c:pt>
                  <c:pt idx="20">
                    <c:v>Not Graduate</c:v>
                  </c:pt>
                  <c:pt idx="21">
                    <c:v>Graduate</c:v>
                  </c:pt>
                  <c:pt idx="22">
                    <c:v>Not Graduate</c:v>
                  </c:pt>
                  <c:pt idx="23">
                    <c:v>Not Graduate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2</c:v>
                  </c:pt>
                  <c:pt idx="6">
                    <c:v>0</c:v>
                  </c:pt>
                  <c:pt idx="7">
                    <c:v>3+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0</c:v>
                  </c:pt>
                  <c:pt idx="14">
                    <c:v>2</c:v>
                  </c:pt>
                  <c:pt idx="15">
                    <c:v>0</c:v>
                  </c:pt>
                  <c:pt idx="16">
                    <c:v>1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2</c:v>
                  </c:pt>
                </c:lvl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Yes</c:v>
                  </c:pt>
                  <c:pt idx="7">
                    <c:v>Yes</c:v>
                  </c:pt>
                  <c:pt idx="8">
                    <c:v>Yes</c:v>
                  </c:pt>
                  <c:pt idx="9">
                    <c:v>Yes</c:v>
                  </c:pt>
                  <c:pt idx="10">
                    <c:v>Yes</c:v>
                  </c:pt>
                  <c:pt idx="11">
                    <c:v>Yes</c:v>
                  </c:pt>
                  <c:pt idx="12">
                    <c:v>Yes</c:v>
                  </c:pt>
                  <c:pt idx="13">
                    <c:v>No</c:v>
                  </c:pt>
                  <c:pt idx="14">
                    <c:v>Yes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Yes</c:v>
                  </c:pt>
                  <c:pt idx="20">
                    <c:v>Yes</c:v>
                  </c:pt>
                  <c:pt idx="21">
                    <c:v>Yes</c:v>
                  </c:pt>
                  <c:pt idx="22">
                    <c:v>Yes</c:v>
                  </c:pt>
                  <c:pt idx="23">
                    <c:v>Yes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Male</c:v>
                  </c:pt>
                  <c:pt idx="7">
                    <c:v>Male</c:v>
                  </c:pt>
                  <c:pt idx="8">
                    <c:v>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Male</c:v>
                  </c:pt>
                  <c:pt idx="12">
                    <c:v>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Male</c:v>
                  </c:pt>
                  <c:pt idx="16">
                    <c:v>Male</c:v>
                  </c:pt>
                  <c:pt idx="17">
                    <c:v>Female</c:v>
                  </c:pt>
                  <c:pt idx="18">
                    <c:v>Male</c:v>
                  </c:pt>
                  <c:pt idx="19">
                    <c:v>Male</c:v>
                  </c:pt>
                  <c:pt idx="20">
                    <c:v>Male</c:v>
                  </c:pt>
                  <c:pt idx="21">
                    <c:v>Male</c:v>
                  </c:pt>
                  <c:pt idx="22">
                    <c:v>Male</c:v>
                  </c:pt>
                </c:lvl>
                <c:lvl>
                  <c:pt idx="0">
                    <c:v>LP001002</c:v>
                  </c:pt>
                  <c:pt idx="1">
                    <c:v>LP001003</c:v>
                  </c:pt>
                  <c:pt idx="2">
                    <c:v>LP001005</c:v>
                  </c:pt>
                  <c:pt idx="3">
                    <c:v>LP001006</c:v>
                  </c:pt>
                  <c:pt idx="4">
                    <c:v>LP001008</c:v>
                  </c:pt>
                  <c:pt idx="5">
                    <c:v>LP001011</c:v>
                  </c:pt>
                  <c:pt idx="6">
                    <c:v>LP001013</c:v>
                  </c:pt>
                  <c:pt idx="7">
                    <c:v>LP001014</c:v>
                  </c:pt>
                  <c:pt idx="8">
                    <c:v>LP001018</c:v>
                  </c:pt>
                  <c:pt idx="9">
                    <c:v>LP001020</c:v>
                  </c:pt>
                  <c:pt idx="10">
                    <c:v>LP001024</c:v>
                  </c:pt>
                  <c:pt idx="11">
                    <c:v>LP001027</c:v>
                  </c:pt>
                  <c:pt idx="12">
                    <c:v>LP001028</c:v>
                  </c:pt>
                  <c:pt idx="13">
                    <c:v>LP001029</c:v>
                  </c:pt>
                  <c:pt idx="14">
                    <c:v>LP001030</c:v>
                  </c:pt>
                  <c:pt idx="15">
                    <c:v>LP001032</c:v>
                  </c:pt>
                  <c:pt idx="16">
                    <c:v>LP001034</c:v>
                  </c:pt>
                  <c:pt idx="17">
                    <c:v>LP001036</c:v>
                  </c:pt>
                  <c:pt idx="18">
                    <c:v>LP001038</c:v>
                  </c:pt>
                  <c:pt idx="19">
                    <c:v>LP001041</c:v>
                  </c:pt>
                  <c:pt idx="20">
                    <c:v>LP001043</c:v>
                  </c:pt>
                  <c:pt idx="21">
                    <c:v>LP001046</c:v>
                  </c:pt>
                  <c:pt idx="22">
                    <c:v>LP001047</c:v>
                  </c:pt>
                  <c:pt idx="23">
                    <c:v>LP001050</c:v>
                  </c:pt>
                </c:lvl>
              </c:multiLvlStrCache>
            </c:multiLvlStrRef>
          </c:cat>
          <c:val>
            <c:numRef>
              <c:f>Sheet2!$I$2:$I$25</c:f>
              <c:numCache>
                <c:formatCode>General</c:formatCode>
                <c:ptCount val="24"/>
                <c:pt idx="1">
                  <c:v>128</c:v>
                </c:pt>
                <c:pt idx="2">
                  <c:v>66</c:v>
                </c:pt>
                <c:pt idx="3">
                  <c:v>120</c:v>
                </c:pt>
                <c:pt idx="4">
                  <c:v>141</c:v>
                </c:pt>
                <c:pt idx="5">
                  <c:v>267</c:v>
                </c:pt>
                <c:pt idx="6">
                  <c:v>95</c:v>
                </c:pt>
                <c:pt idx="7">
                  <c:v>158</c:v>
                </c:pt>
                <c:pt idx="8">
                  <c:v>168</c:v>
                </c:pt>
                <c:pt idx="9">
                  <c:v>349</c:v>
                </c:pt>
                <c:pt idx="10">
                  <c:v>70</c:v>
                </c:pt>
                <c:pt idx="11">
                  <c:v>109</c:v>
                </c:pt>
                <c:pt idx="12">
                  <c:v>200</c:v>
                </c:pt>
                <c:pt idx="13">
                  <c:v>114</c:v>
                </c:pt>
                <c:pt idx="14">
                  <c:v>17</c:v>
                </c:pt>
                <c:pt idx="15">
                  <c:v>125</c:v>
                </c:pt>
                <c:pt idx="16">
                  <c:v>100</c:v>
                </c:pt>
                <c:pt idx="17">
                  <c:v>76</c:v>
                </c:pt>
                <c:pt idx="18">
                  <c:v>133</c:v>
                </c:pt>
                <c:pt idx="19">
                  <c:v>115</c:v>
                </c:pt>
                <c:pt idx="20">
                  <c:v>104</c:v>
                </c:pt>
                <c:pt idx="21">
                  <c:v>315</c:v>
                </c:pt>
                <c:pt idx="22">
                  <c:v>116</c:v>
                </c:pt>
                <c:pt idx="23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EA-4A74-8360-0DC463EEE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678255"/>
        <c:axId val="464112639"/>
      </c:lineChart>
      <c:catAx>
        <c:axId val="57367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12639"/>
        <c:auto val="1"/>
        <c:lblAlgn val="ctr"/>
        <c:lblOffset val="100"/>
        <c:noMultiLvlLbl val="0"/>
      </c:catAx>
      <c:valAx>
        <c:axId val="46411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7825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size">
        <cx:f>_xlchart.v1.23</cx:f>
      </cx:numDim>
    </cx:data>
    <cx:data id="1">
      <cx:strDim type="cat">
        <cx:f>_xlchart.v1.21</cx:f>
      </cx:strDim>
      <cx:numDim type="size">
        <cx:f>_xlchart.v1.25</cx:f>
      </cx:numDim>
    </cx:data>
    <cx:data id="2">
      <cx:strDim type="cat">
        <cx:f>_xlchart.v1.21</cx:f>
      </cx:strDim>
      <cx:numDim type="size">
        <cx:f>_xlchart.v1.27</cx:f>
      </cx:numDim>
    </cx:data>
  </cx:chartData>
  <cx:chart>
    <cx:title pos="t" align="ctr" overlay="0">
      <cx:tx>
        <cx:txData>
          <cx:v>INSERT HIERARCHY CHART FOR LOAN DATASET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INSERT HIERARCHY CHART FOR LOAN DATASET</a:t>
          </a:r>
        </a:p>
      </cx:txPr>
    </cx:title>
    <cx:plotArea>
      <cx:plotAreaRegion>
        <cx:series layoutId="treemap" uniqueId="{DD6713A2-3C78-49A5-B88D-C025FC516B73}" formatIdx="0">
          <cx:tx>
            <cx:txData>
              <cx:f>_xlchart.v1.22</cx:f>
              <cx:v>ApplicantIncome 5849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banner"/>
          </cx:layoutPr>
        </cx:series>
        <cx:series layoutId="treemap" hidden="1" uniqueId="{B4A723BF-ECE5-48E6-B920-B65C79062ED8}" formatIdx="1">
          <cx:tx>
            <cx:txData>
              <cx:f>_xlchart.v1.24</cx:f>
              <cx:v>CoapplicantIncome 0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banner"/>
          </cx:layoutPr>
        </cx:series>
        <cx:series layoutId="treemap" hidden="1" uniqueId="{496D6690-4BBD-4323-BCED-07403A1EED52}" formatIdx="2">
          <cx:tx>
            <cx:txData>
              <cx:f>_xlchart.v1.26</cx:f>
              <cx:v>LoanAmount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banner"/>
          </cx:layoutPr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INSERT STATISTICS CHART FOR LOAN DATASET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INSERT STATISTICS CHART FOR LOAN DATASET</a:t>
          </a:r>
        </a:p>
      </cx:txPr>
    </cx:title>
    <cx:plotArea>
      <cx:plotAreaRegion>
        <cx:series layoutId="clusteredColumn" uniqueId="{2D66C3A9-10DF-4376-8500-22D16CFDA92F}" formatIdx="0">
          <cx:tx>
            <cx:txData>
              <cx:f>_xlchart.v1.1</cx:f>
              <cx:v>ApplicantIncome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  <cx:series layoutId="clusteredColumn" hidden="1" uniqueId="{E75FE82F-7FA1-46B2-837D-92A624FC8D40}" formatIdx="1">
          <cx:tx>
            <cx:txData>
              <cx:f>_xlchart.v1.3</cx:f>
              <cx:v>CoapplicantIncome</cx:v>
            </cx:txData>
          </cx:tx>
          <cx:dataLabels pos="inEnd">
            <cx:visibility seriesName="0" categoryName="0" value="1"/>
          </cx:dataLabels>
          <cx:dataId val="1"/>
          <cx:layoutPr>
            <cx:binning intervalClosed="r"/>
          </cx:layoutPr>
        </cx:series>
        <cx:series layoutId="clusteredColumn" hidden="1" uniqueId="{8D6AEE37-78F3-4962-B2C6-D4A16E32B9D3}" formatIdx="2">
          <cx:tx>
            <cx:txData>
              <cx:f>_xlchart.v1.5</cx:f>
              <cx:v>LoanAmount</cx:v>
            </cx:txData>
          </cx:tx>
          <cx:dataLabels pos="inEnd">
            <cx:visibility seriesName="0" categoryName="0" value="1"/>
          </cx:dataLabels>
          <cx:dataId val="2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val">
        <cx:f>_xlchart.v1.16</cx:f>
      </cx:numDim>
    </cx:data>
    <cx:data id="1">
      <cx:strDim type="cat">
        <cx:f>_xlchart.v1.14</cx:f>
      </cx:strDim>
      <cx:numDim type="val">
        <cx:f>_xlchart.v1.18</cx:f>
      </cx:numDim>
    </cx:data>
    <cx:data id="2">
      <cx:strDim type="cat">
        <cx:f>_xlchart.v1.14</cx:f>
      </cx:strDim>
      <cx:numDim type="val">
        <cx:f>_xlchart.v1.20</cx:f>
      </cx:numDim>
    </cx:data>
  </cx:chartData>
  <cx:chart>
    <cx:title pos="t" align="ctr" overlay="0">
      <cx:tx>
        <cx:txData>
          <cx:v>RADAR CHART FOR LOAN DATASET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RADAR CHART FOR LOAN DATASET</a:t>
          </a:r>
        </a:p>
      </cx:txPr>
    </cx:title>
    <cx:plotArea>
      <cx:plotAreaRegion>
        <cx:series layoutId="waterfall" uniqueId="{8F14D38C-7FE3-4559-8FD6-8340BC5396E3}" formatIdx="0">
          <cx:tx>
            <cx:txData>
              <cx:f>_xlchart.v1.15</cx:f>
              <cx:v>ApplicantIncome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0"/>
            <cx:subtotals/>
          </cx:layoutPr>
        </cx:series>
        <cx:series layoutId="waterfall" hidden="1" uniqueId="{30DF77B3-BA7A-4ED8-8B06-A7C29A39071F}" formatIdx="1">
          <cx:tx>
            <cx:txData>
              <cx:f>_xlchart.v1.17</cx:f>
              <cx:v>CoapplicantIncome</cx:v>
            </cx:txData>
          </cx:tx>
          <cx:dataLabels pos="outEnd">
            <cx:visibility seriesName="0" categoryName="0" value="1"/>
          </cx:dataLabels>
          <cx:dataId val="1"/>
          <cx:layoutPr>
            <cx:visibility connectorLines="0"/>
            <cx:subtotals/>
          </cx:layoutPr>
        </cx:series>
        <cx:series layoutId="waterfall" hidden="1" uniqueId="{84060660-00FA-4A49-9E4E-DFB9A7733C7C}" formatIdx="2">
          <cx:tx>
            <cx:txData>
              <cx:f>_xlchart.v1.19</cx:f>
              <cx:v>LoanAmount</cx:v>
            </cx:txData>
          </cx:tx>
          <cx:dataLabels pos="outEnd">
            <cx:visibility seriesName="0" categoryName="0" value="1"/>
          </cx:dataLabels>
          <cx:dataId val="2"/>
          <cx:layoutPr>
            <cx:visibility connectorLines="0"/>
            <cx:subtotals/>
          </cx:layoutPr>
        </cx:series>
      </cx:plotAreaRegion>
      <cx:axis id="0">
        <cx:catScaling gapWidth="0.25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3">
  <cs:axisTitle>
    <cs:lnRef idx="0"/>
    <cs:fillRef idx="0"/>
    <cs:effectRef idx="0"/>
    <cs:fontRef idx="minor">
      <a:schemeClr val="tx2"/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7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microsoft.com/office/2014/relationships/chartEx" Target="../charts/chartEx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46181</xdr:colOff>
      <xdr:row>0</xdr:row>
      <xdr:rowOff>13854</xdr:rowOff>
    </xdr:from>
    <xdr:to>
      <xdr:col>16</xdr:col>
      <xdr:colOff>361757</xdr:colOff>
      <xdr:row>14</xdr:row>
      <xdr:rowOff>170872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F1D776-BBBF-468C-A876-26B768B85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38484</xdr:colOff>
      <xdr:row>14</xdr:row>
      <xdr:rowOff>175490</xdr:rowOff>
    </xdr:from>
    <xdr:to>
      <xdr:col>16</xdr:col>
      <xdr:colOff>354060</xdr:colOff>
      <xdr:row>29</xdr:row>
      <xdr:rowOff>147781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41DBEA-4459-6D87-1402-E89BC214C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392545</xdr:colOff>
      <xdr:row>0</xdr:row>
      <xdr:rowOff>29248</xdr:rowOff>
    </xdr:from>
    <xdr:to>
      <xdr:col>24</xdr:col>
      <xdr:colOff>100060</xdr:colOff>
      <xdr:row>15</xdr:row>
      <xdr:rowOff>1539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B2C359-2686-2E20-3C3C-37FE1D8E8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361757</xdr:colOff>
      <xdr:row>15</xdr:row>
      <xdr:rowOff>21552</xdr:rowOff>
    </xdr:from>
    <xdr:to>
      <xdr:col>24</xdr:col>
      <xdr:colOff>69272</xdr:colOff>
      <xdr:row>29</xdr:row>
      <xdr:rowOff>178570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1032A8F-23B4-E5F3-CF64-E973D298E8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61151" y="279246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61576</xdr:colOff>
      <xdr:row>25</xdr:row>
      <xdr:rowOff>44642</xdr:rowOff>
    </xdr:from>
    <xdr:to>
      <xdr:col>5</xdr:col>
      <xdr:colOff>685030</xdr:colOff>
      <xdr:row>40</xdr:row>
      <xdr:rowOff>16933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3FB3196-3A93-7DF0-BE29-633FC03B76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76" y="4662824"/>
              <a:ext cx="404090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708121</xdr:colOff>
      <xdr:row>25</xdr:row>
      <xdr:rowOff>52339</xdr:rowOff>
    </xdr:from>
    <xdr:to>
      <xdr:col>9</xdr:col>
      <xdr:colOff>7697</xdr:colOff>
      <xdr:row>40</xdr:row>
      <xdr:rowOff>24630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9BE138-FC48-B614-0B46-D6131B0E0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61576</xdr:colOff>
      <xdr:row>29</xdr:row>
      <xdr:rowOff>183188</xdr:rowOff>
    </xdr:from>
    <xdr:to>
      <xdr:col>16</xdr:col>
      <xdr:colOff>377152</xdr:colOff>
      <xdr:row>44</xdr:row>
      <xdr:rowOff>155479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393BA0E-1D82-D3AF-05D7-DCEFCCFE3D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4546" y="5540279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38486</xdr:colOff>
      <xdr:row>40</xdr:row>
      <xdr:rowOff>60036</xdr:rowOff>
    </xdr:from>
    <xdr:to>
      <xdr:col>6</xdr:col>
      <xdr:colOff>292486</xdr:colOff>
      <xdr:row>55</xdr:row>
      <xdr:rowOff>32327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75D838-A174-B5D7-7D7E-0DC4F6CE2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E27" sqref="E27"/>
    </sheetView>
  </sheetViews>
  <sheetFormatPr defaultRowHeight="14.4" x14ac:dyDescent="0.3"/>
  <cols>
    <col min="4" max="4" width="10.88671875" customWidth="1"/>
    <col min="5" max="5" width="12.21875" customWidth="1"/>
    <col min="6" max="6" width="13.33203125" customWidth="1"/>
    <col min="7" max="7" width="14.88671875" customWidth="1"/>
    <col min="8" max="8" width="17.33203125" customWidth="1"/>
    <col min="9" max="9" width="12.44140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>
        <v>0</v>
      </c>
      <c r="E2" s="1" t="s">
        <v>12</v>
      </c>
      <c r="F2" s="1" t="s">
        <v>11</v>
      </c>
      <c r="G2" s="1">
        <v>5849</v>
      </c>
      <c r="H2" s="1">
        <v>0</v>
      </c>
      <c r="I2" s="1"/>
    </row>
    <row r="3" spans="1:9" x14ac:dyDescent="0.3">
      <c r="A3" s="1" t="s">
        <v>13</v>
      </c>
      <c r="B3" s="1" t="s">
        <v>10</v>
      </c>
      <c r="C3" s="1" t="s">
        <v>14</v>
      </c>
      <c r="D3" s="1">
        <v>1</v>
      </c>
      <c r="E3" s="1" t="s">
        <v>12</v>
      </c>
      <c r="F3" s="1" t="s">
        <v>11</v>
      </c>
      <c r="G3" s="1">
        <v>4583</v>
      </c>
      <c r="H3" s="1">
        <v>1508</v>
      </c>
      <c r="I3" s="1">
        <v>128</v>
      </c>
    </row>
    <row r="4" spans="1:9" x14ac:dyDescent="0.3">
      <c r="A4" s="1" t="s">
        <v>15</v>
      </c>
      <c r="B4" s="1" t="s">
        <v>10</v>
      </c>
      <c r="C4" s="1" t="s">
        <v>14</v>
      </c>
      <c r="D4" s="1">
        <v>0</v>
      </c>
      <c r="E4" s="1" t="s">
        <v>12</v>
      </c>
      <c r="F4" s="1" t="s">
        <v>14</v>
      </c>
      <c r="G4" s="1">
        <v>3000</v>
      </c>
      <c r="H4" s="1">
        <v>0</v>
      </c>
      <c r="I4" s="1">
        <v>66</v>
      </c>
    </row>
    <row r="5" spans="1:9" x14ac:dyDescent="0.3">
      <c r="A5" s="1" t="s">
        <v>16</v>
      </c>
      <c r="B5" s="1" t="s">
        <v>10</v>
      </c>
      <c r="C5" s="1" t="s">
        <v>14</v>
      </c>
      <c r="D5" s="1">
        <v>0</v>
      </c>
      <c r="E5" s="1" t="s">
        <v>17</v>
      </c>
      <c r="F5" s="1" t="s">
        <v>11</v>
      </c>
      <c r="G5" s="1">
        <v>2583</v>
      </c>
      <c r="H5" s="1">
        <v>2358</v>
      </c>
      <c r="I5" s="1">
        <v>120</v>
      </c>
    </row>
    <row r="6" spans="1:9" x14ac:dyDescent="0.3">
      <c r="A6" s="1" t="s">
        <v>18</v>
      </c>
      <c r="B6" s="1" t="s">
        <v>10</v>
      </c>
      <c r="C6" s="1" t="s">
        <v>11</v>
      </c>
      <c r="D6" s="1">
        <v>0</v>
      </c>
      <c r="E6" s="1" t="s">
        <v>12</v>
      </c>
      <c r="F6" s="1" t="s">
        <v>11</v>
      </c>
      <c r="G6" s="1">
        <v>6000</v>
      </c>
      <c r="H6" s="1">
        <v>0</v>
      </c>
      <c r="I6" s="1">
        <v>141</v>
      </c>
    </row>
    <row r="7" spans="1:9" x14ac:dyDescent="0.3">
      <c r="A7" s="1" t="s">
        <v>19</v>
      </c>
      <c r="B7" s="1" t="s">
        <v>10</v>
      </c>
      <c r="C7" s="1" t="s">
        <v>14</v>
      </c>
      <c r="D7" s="1">
        <v>2</v>
      </c>
      <c r="E7" s="1" t="s">
        <v>12</v>
      </c>
      <c r="F7" s="1" t="s">
        <v>14</v>
      </c>
      <c r="G7" s="1">
        <v>5417</v>
      </c>
      <c r="H7" s="1">
        <v>4196</v>
      </c>
      <c r="I7" s="1">
        <v>267</v>
      </c>
    </row>
    <row r="8" spans="1:9" x14ac:dyDescent="0.3">
      <c r="A8" s="1" t="s">
        <v>20</v>
      </c>
      <c r="B8" s="1" t="s">
        <v>10</v>
      </c>
      <c r="C8" s="1" t="s">
        <v>14</v>
      </c>
      <c r="D8" s="1">
        <v>0</v>
      </c>
      <c r="E8" s="1" t="s">
        <v>17</v>
      </c>
      <c r="F8" s="1" t="s">
        <v>11</v>
      </c>
      <c r="G8" s="1">
        <v>2333</v>
      </c>
      <c r="H8" s="1">
        <v>1516</v>
      </c>
      <c r="I8" s="1">
        <v>95</v>
      </c>
    </row>
    <row r="9" spans="1:9" x14ac:dyDescent="0.3">
      <c r="A9" s="1" t="s">
        <v>21</v>
      </c>
      <c r="B9" s="1" t="s">
        <v>10</v>
      </c>
      <c r="C9" s="1" t="s">
        <v>14</v>
      </c>
      <c r="D9" s="1" t="s">
        <v>22</v>
      </c>
      <c r="E9" s="1" t="s">
        <v>12</v>
      </c>
      <c r="F9" s="1" t="s">
        <v>11</v>
      </c>
      <c r="G9" s="1">
        <v>3036</v>
      </c>
      <c r="H9" s="1">
        <v>2504</v>
      </c>
      <c r="I9" s="1">
        <v>158</v>
      </c>
    </row>
    <row r="10" spans="1:9" x14ac:dyDescent="0.3">
      <c r="A10" s="1" t="s">
        <v>23</v>
      </c>
      <c r="B10" s="1" t="s">
        <v>10</v>
      </c>
      <c r="C10" s="1" t="s">
        <v>14</v>
      </c>
      <c r="D10" s="1">
        <v>2</v>
      </c>
      <c r="E10" s="1" t="s">
        <v>12</v>
      </c>
      <c r="F10" s="1" t="s">
        <v>11</v>
      </c>
      <c r="G10" s="1">
        <v>4006</v>
      </c>
      <c r="H10" s="1">
        <v>1526</v>
      </c>
      <c r="I10" s="1">
        <v>168</v>
      </c>
    </row>
    <row r="11" spans="1:9" x14ac:dyDescent="0.3">
      <c r="A11" s="1" t="s">
        <v>24</v>
      </c>
      <c r="B11" s="1" t="s">
        <v>10</v>
      </c>
      <c r="C11" s="1" t="s">
        <v>14</v>
      </c>
      <c r="D11" s="1">
        <v>1</v>
      </c>
      <c r="E11" s="1" t="s">
        <v>12</v>
      </c>
      <c r="F11" s="1" t="s">
        <v>11</v>
      </c>
      <c r="G11" s="1">
        <v>12841</v>
      </c>
      <c r="H11" s="1">
        <v>10968</v>
      </c>
      <c r="I11" s="1">
        <v>349</v>
      </c>
    </row>
    <row r="12" spans="1:9" x14ac:dyDescent="0.3">
      <c r="A12" s="1" t="s">
        <v>25</v>
      </c>
      <c r="B12" s="1" t="s">
        <v>10</v>
      </c>
      <c r="C12" s="1" t="s">
        <v>14</v>
      </c>
      <c r="D12" s="1">
        <v>2</v>
      </c>
      <c r="E12" s="1" t="s">
        <v>12</v>
      </c>
      <c r="F12" s="1" t="s">
        <v>11</v>
      </c>
      <c r="G12" s="1">
        <v>3200</v>
      </c>
      <c r="H12" s="1">
        <v>700</v>
      </c>
      <c r="I12" s="1">
        <v>70</v>
      </c>
    </row>
    <row r="13" spans="1:9" x14ac:dyDescent="0.3">
      <c r="A13" s="1" t="s">
        <v>26</v>
      </c>
      <c r="B13" s="1" t="s">
        <v>10</v>
      </c>
      <c r="C13" s="1" t="s">
        <v>14</v>
      </c>
      <c r="D13" s="1">
        <v>2</v>
      </c>
      <c r="E13" s="1" t="s">
        <v>12</v>
      </c>
      <c r="F13" s="1"/>
      <c r="G13" s="1">
        <v>2500</v>
      </c>
      <c r="H13" s="1">
        <v>1840</v>
      </c>
      <c r="I13" s="1">
        <v>109</v>
      </c>
    </row>
    <row r="14" spans="1:9" x14ac:dyDescent="0.3">
      <c r="A14" s="1" t="s">
        <v>27</v>
      </c>
      <c r="B14" s="1" t="s">
        <v>10</v>
      </c>
      <c r="C14" s="1" t="s">
        <v>14</v>
      </c>
      <c r="D14" s="1">
        <v>2</v>
      </c>
      <c r="E14" s="1" t="s">
        <v>12</v>
      </c>
      <c r="F14" s="1" t="s">
        <v>11</v>
      </c>
      <c r="G14" s="1">
        <v>3073</v>
      </c>
      <c r="H14" s="1">
        <v>8106</v>
      </c>
      <c r="I14" s="1">
        <v>200</v>
      </c>
    </row>
    <row r="15" spans="1:9" x14ac:dyDescent="0.3">
      <c r="A15" s="1" t="s">
        <v>28</v>
      </c>
      <c r="B15" s="1" t="s">
        <v>10</v>
      </c>
      <c r="C15" s="1" t="s">
        <v>11</v>
      </c>
      <c r="D15" s="1">
        <v>0</v>
      </c>
      <c r="E15" s="1" t="s">
        <v>12</v>
      </c>
      <c r="F15" s="1" t="s">
        <v>11</v>
      </c>
      <c r="G15" s="1">
        <v>1853</v>
      </c>
      <c r="H15" s="1">
        <v>2840</v>
      </c>
      <c r="I15" s="1">
        <v>114</v>
      </c>
    </row>
    <row r="16" spans="1:9" x14ac:dyDescent="0.3">
      <c r="A16" s="1" t="s">
        <v>29</v>
      </c>
      <c r="B16" s="1" t="s">
        <v>10</v>
      </c>
      <c r="C16" s="1" t="s">
        <v>14</v>
      </c>
      <c r="D16" s="1">
        <v>2</v>
      </c>
      <c r="E16" s="1" t="s">
        <v>12</v>
      </c>
      <c r="F16" s="1" t="s">
        <v>11</v>
      </c>
      <c r="G16" s="1">
        <v>1299</v>
      </c>
      <c r="H16" s="1">
        <v>1086</v>
      </c>
      <c r="I16" s="1">
        <v>17</v>
      </c>
    </row>
    <row r="17" spans="1:9" x14ac:dyDescent="0.3">
      <c r="A17" s="1" t="s">
        <v>30</v>
      </c>
      <c r="B17" s="1" t="s">
        <v>10</v>
      </c>
      <c r="C17" s="1" t="s">
        <v>11</v>
      </c>
      <c r="D17" s="1">
        <v>0</v>
      </c>
      <c r="E17" s="1" t="s">
        <v>12</v>
      </c>
      <c r="F17" s="1" t="s">
        <v>11</v>
      </c>
      <c r="G17" s="1">
        <v>4950</v>
      </c>
      <c r="H17" s="1">
        <v>0</v>
      </c>
      <c r="I17" s="1">
        <v>125</v>
      </c>
    </row>
    <row r="18" spans="1:9" x14ac:dyDescent="0.3">
      <c r="A18" s="1" t="s">
        <v>31</v>
      </c>
      <c r="B18" s="1" t="s">
        <v>10</v>
      </c>
      <c r="C18" s="1" t="s">
        <v>11</v>
      </c>
      <c r="D18" s="1">
        <v>1</v>
      </c>
      <c r="E18" s="1" t="s">
        <v>17</v>
      </c>
      <c r="F18" s="1" t="s">
        <v>11</v>
      </c>
      <c r="G18" s="1">
        <v>3596</v>
      </c>
      <c r="H18" s="1">
        <v>0</v>
      </c>
      <c r="I18" s="1">
        <v>100</v>
      </c>
    </row>
    <row r="19" spans="1:9" x14ac:dyDescent="0.3">
      <c r="A19" s="1" t="s">
        <v>32</v>
      </c>
      <c r="B19" s="1" t="s">
        <v>33</v>
      </c>
      <c r="C19" s="1" t="s">
        <v>11</v>
      </c>
      <c r="D19" s="1">
        <v>0</v>
      </c>
      <c r="E19" s="1" t="s">
        <v>12</v>
      </c>
      <c r="F19" s="1" t="s">
        <v>11</v>
      </c>
      <c r="G19" s="1">
        <v>3510</v>
      </c>
      <c r="H19" s="1">
        <v>0</v>
      </c>
      <c r="I19" s="1">
        <v>76</v>
      </c>
    </row>
    <row r="20" spans="1:9" x14ac:dyDescent="0.3">
      <c r="A20" s="1" t="s">
        <v>34</v>
      </c>
      <c r="B20" s="1" t="s">
        <v>10</v>
      </c>
      <c r="C20" s="1" t="s">
        <v>14</v>
      </c>
      <c r="D20" s="1">
        <v>0</v>
      </c>
      <c r="E20" s="1" t="s">
        <v>17</v>
      </c>
      <c r="F20" s="1" t="s">
        <v>11</v>
      </c>
      <c r="G20" s="1">
        <v>4887</v>
      </c>
      <c r="H20" s="1">
        <v>0</v>
      </c>
      <c r="I20" s="1">
        <v>133</v>
      </c>
    </row>
    <row r="21" spans="1:9" x14ac:dyDescent="0.3">
      <c r="A21" s="1" t="s">
        <v>35</v>
      </c>
      <c r="B21" s="1" t="s">
        <v>10</v>
      </c>
      <c r="C21" s="1" t="s">
        <v>14</v>
      </c>
      <c r="D21" s="1">
        <v>0</v>
      </c>
      <c r="E21" s="1" t="s">
        <v>12</v>
      </c>
      <c r="F21" s="1"/>
      <c r="G21" s="1">
        <v>2600</v>
      </c>
      <c r="H21" s="1">
        <v>3500</v>
      </c>
      <c r="I21" s="1">
        <v>115</v>
      </c>
    </row>
    <row r="22" spans="1:9" x14ac:dyDescent="0.3">
      <c r="A22" s="1" t="s">
        <v>36</v>
      </c>
      <c r="B22" s="1" t="s">
        <v>10</v>
      </c>
      <c r="C22" s="1" t="s">
        <v>14</v>
      </c>
      <c r="D22" s="1">
        <v>0</v>
      </c>
      <c r="E22" s="1" t="s">
        <v>17</v>
      </c>
      <c r="F22" s="1" t="s">
        <v>11</v>
      </c>
      <c r="G22" s="1">
        <v>7660</v>
      </c>
      <c r="H22" s="1">
        <v>0</v>
      </c>
      <c r="I22" s="1">
        <v>104</v>
      </c>
    </row>
    <row r="23" spans="1:9" x14ac:dyDescent="0.3">
      <c r="A23" s="1" t="s">
        <v>37</v>
      </c>
      <c r="B23" s="1" t="s">
        <v>10</v>
      </c>
      <c r="C23" s="1" t="s">
        <v>14</v>
      </c>
      <c r="D23" s="1">
        <v>1</v>
      </c>
      <c r="E23" s="1" t="s">
        <v>12</v>
      </c>
      <c r="F23" s="1" t="s">
        <v>11</v>
      </c>
      <c r="G23" s="1">
        <v>5955</v>
      </c>
      <c r="H23" s="1">
        <v>5625</v>
      </c>
      <c r="I23" s="1">
        <v>315</v>
      </c>
    </row>
    <row r="24" spans="1:9" x14ac:dyDescent="0.3">
      <c r="A24" s="1" t="s">
        <v>38</v>
      </c>
      <c r="B24" s="1" t="s">
        <v>10</v>
      </c>
      <c r="C24" s="1" t="s">
        <v>14</v>
      </c>
      <c r="D24" s="1">
        <v>0</v>
      </c>
      <c r="E24" s="1" t="s">
        <v>17</v>
      </c>
      <c r="F24" s="1" t="s">
        <v>11</v>
      </c>
      <c r="G24" s="1">
        <v>2600</v>
      </c>
      <c r="H24" s="1">
        <v>1911</v>
      </c>
      <c r="I24" s="1">
        <v>116</v>
      </c>
    </row>
    <row r="25" spans="1:9" x14ac:dyDescent="0.3">
      <c r="A25" s="1" t="s">
        <v>39</v>
      </c>
      <c r="B25" s="1"/>
      <c r="C25" s="1" t="s">
        <v>14</v>
      </c>
      <c r="D25" s="1">
        <v>2</v>
      </c>
      <c r="E25" s="1" t="s">
        <v>17</v>
      </c>
      <c r="F25" s="1" t="s">
        <v>11</v>
      </c>
      <c r="G25" s="1">
        <v>3365</v>
      </c>
      <c r="H25" s="1">
        <v>1917</v>
      </c>
      <c r="I25" s="1">
        <v>112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M11" sqref="M11"/>
    </sheetView>
  </sheetViews>
  <sheetFormatPr defaultRowHeight="14.4" x14ac:dyDescent="0.3"/>
  <cols>
    <col min="4" max="4" width="10.77734375" customWidth="1"/>
    <col min="5" max="5" width="11.88671875" customWidth="1"/>
    <col min="6" max="6" width="13.44140625" customWidth="1"/>
    <col min="7" max="7" width="15.44140625" customWidth="1"/>
    <col min="8" max="8" width="17.6640625" customWidth="1"/>
    <col min="9" max="9" width="11.77734375" customWidth="1"/>
  </cols>
  <sheetData>
    <row r="1" spans="1:12" x14ac:dyDescent="0.3">
      <c r="A1" s="2" t="s">
        <v>0</v>
      </c>
      <c r="B1" s="2" t="s">
        <v>1</v>
      </c>
      <c r="C1" s="3" t="s">
        <v>2</v>
      </c>
      <c r="D1" s="4"/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2" x14ac:dyDescent="0.3">
      <c r="A2" s="1" t="s">
        <v>9</v>
      </c>
      <c r="B2" s="1" t="s">
        <v>10</v>
      </c>
      <c r="C2" s="1" t="s">
        <v>11</v>
      </c>
      <c r="D2" s="1">
        <v>0</v>
      </c>
      <c r="E2" s="1" t="s">
        <v>12</v>
      </c>
      <c r="F2" s="1" t="s">
        <v>11</v>
      </c>
      <c r="G2" s="1">
        <v>5849</v>
      </c>
      <c r="H2" s="1">
        <v>0</v>
      </c>
      <c r="I2" s="1"/>
    </row>
    <row r="3" spans="1:12" x14ac:dyDescent="0.3">
      <c r="A3" s="1" t="s">
        <v>13</v>
      </c>
      <c r="B3" s="1" t="s">
        <v>10</v>
      </c>
      <c r="C3" s="1" t="s">
        <v>14</v>
      </c>
      <c r="D3" s="1">
        <v>1</v>
      </c>
      <c r="E3" s="1" t="s">
        <v>12</v>
      </c>
      <c r="F3" s="1" t="s">
        <v>11</v>
      </c>
      <c r="G3" s="1">
        <v>4583</v>
      </c>
      <c r="H3" s="1">
        <v>1508</v>
      </c>
      <c r="I3" s="1">
        <v>128</v>
      </c>
      <c r="K3" t="s">
        <v>40</v>
      </c>
      <c r="L3">
        <f>SUM(A2:I25)</f>
        <v>156013</v>
      </c>
    </row>
    <row r="4" spans="1:12" x14ac:dyDescent="0.3">
      <c r="A4" s="1" t="s">
        <v>15</v>
      </c>
      <c r="B4" s="1" t="s">
        <v>10</v>
      </c>
      <c r="C4" s="1" t="s">
        <v>14</v>
      </c>
      <c r="D4" s="1">
        <v>0</v>
      </c>
      <c r="E4" s="1" t="s">
        <v>12</v>
      </c>
      <c r="F4" s="1" t="s">
        <v>14</v>
      </c>
      <c r="G4" s="1">
        <v>3000</v>
      </c>
      <c r="H4" s="1">
        <v>0</v>
      </c>
      <c r="I4" s="1">
        <v>66</v>
      </c>
      <c r="K4" t="s">
        <v>41</v>
      </c>
      <c r="L4">
        <f>AVERAGE(A2:I25)</f>
        <v>1659.7127659574469</v>
      </c>
    </row>
    <row r="5" spans="1:12" x14ac:dyDescent="0.3">
      <c r="A5" s="1" t="s">
        <v>16</v>
      </c>
      <c r="B5" s="1" t="s">
        <v>10</v>
      </c>
      <c r="C5" s="1" t="s">
        <v>14</v>
      </c>
      <c r="D5" s="1">
        <v>0</v>
      </c>
      <c r="E5" s="1" t="s">
        <v>17</v>
      </c>
      <c r="F5" s="1" t="s">
        <v>11</v>
      </c>
      <c r="G5" s="1">
        <v>2583</v>
      </c>
      <c r="H5" s="1">
        <v>2358</v>
      </c>
      <c r="I5" s="1">
        <v>120</v>
      </c>
      <c r="K5" t="s">
        <v>42</v>
      </c>
      <c r="L5">
        <f>MODE(A2:I25)</f>
        <v>0</v>
      </c>
    </row>
    <row r="6" spans="1:12" x14ac:dyDescent="0.3">
      <c r="A6" s="1" t="s">
        <v>18</v>
      </c>
      <c r="B6" s="1" t="s">
        <v>10</v>
      </c>
      <c r="C6" s="1" t="s">
        <v>11</v>
      </c>
      <c r="D6" s="1">
        <v>0</v>
      </c>
      <c r="E6" s="1" t="s">
        <v>12</v>
      </c>
      <c r="F6" s="1" t="s">
        <v>11</v>
      </c>
      <c r="G6" s="1">
        <v>6000</v>
      </c>
      <c r="H6" s="1">
        <v>0</v>
      </c>
      <c r="I6" s="1">
        <v>141</v>
      </c>
      <c r="K6" t="s">
        <v>43</v>
      </c>
      <c r="L6">
        <f>MEDIAN(A2:I25)</f>
        <v>137</v>
      </c>
    </row>
    <row r="7" spans="1:12" x14ac:dyDescent="0.3">
      <c r="A7" s="1" t="s">
        <v>19</v>
      </c>
      <c r="B7" s="1" t="s">
        <v>10</v>
      </c>
      <c r="C7" s="1" t="s">
        <v>14</v>
      </c>
      <c r="D7" s="1">
        <v>2</v>
      </c>
      <c r="E7" s="1" t="s">
        <v>12</v>
      </c>
      <c r="F7" s="1" t="s">
        <v>14</v>
      </c>
      <c r="G7" s="1">
        <v>5417</v>
      </c>
      <c r="H7" s="1">
        <v>4196</v>
      </c>
      <c r="I7" s="1">
        <v>267</v>
      </c>
    </row>
    <row r="8" spans="1:12" x14ac:dyDescent="0.3">
      <c r="A8" s="1" t="s">
        <v>20</v>
      </c>
      <c r="B8" s="1" t="s">
        <v>10</v>
      </c>
      <c r="C8" s="1" t="s">
        <v>14</v>
      </c>
      <c r="D8" s="1">
        <v>0</v>
      </c>
      <c r="E8" s="1" t="s">
        <v>17</v>
      </c>
      <c r="F8" s="1" t="s">
        <v>11</v>
      </c>
      <c r="G8" s="1">
        <v>2333</v>
      </c>
      <c r="H8" s="1">
        <v>1516</v>
      </c>
      <c r="I8" s="1">
        <v>95</v>
      </c>
    </row>
    <row r="9" spans="1:12" x14ac:dyDescent="0.3">
      <c r="A9" s="1" t="s">
        <v>21</v>
      </c>
      <c r="B9" s="1" t="s">
        <v>10</v>
      </c>
      <c r="C9" s="1" t="s">
        <v>14</v>
      </c>
      <c r="D9" s="1" t="s">
        <v>22</v>
      </c>
      <c r="E9" s="1" t="s">
        <v>12</v>
      </c>
      <c r="F9" s="1" t="s">
        <v>11</v>
      </c>
      <c r="G9" s="1">
        <v>3036</v>
      </c>
      <c r="H9" s="1">
        <v>2504</v>
      </c>
      <c r="I9" s="1">
        <v>158</v>
      </c>
    </row>
    <row r="10" spans="1:12" x14ac:dyDescent="0.3">
      <c r="A10" s="1" t="s">
        <v>23</v>
      </c>
      <c r="B10" s="1" t="s">
        <v>10</v>
      </c>
      <c r="C10" s="1" t="s">
        <v>14</v>
      </c>
      <c r="D10" s="1">
        <v>2</v>
      </c>
      <c r="E10" s="1" t="s">
        <v>12</v>
      </c>
      <c r="F10" s="1" t="s">
        <v>11</v>
      </c>
      <c r="G10" s="1">
        <v>4006</v>
      </c>
      <c r="H10" s="1">
        <v>1526</v>
      </c>
      <c r="I10" s="1">
        <v>168</v>
      </c>
    </row>
    <row r="11" spans="1:12" x14ac:dyDescent="0.3">
      <c r="A11" s="1" t="s">
        <v>24</v>
      </c>
      <c r="B11" s="1" t="s">
        <v>10</v>
      </c>
      <c r="C11" s="1" t="s">
        <v>14</v>
      </c>
      <c r="D11" s="1">
        <v>1</v>
      </c>
      <c r="E11" s="1" t="s">
        <v>12</v>
      </c>
      <c r="F11" s="1" t="s">
        <v>11</v>
      </c>
      <c r="G11" s="1">
        <v>12841</v>
      </c>
      <c r="H11" s="1">
        <v>10968</v>
      </c>
      <c r="I11" s="1">
        <v>349</v>
      </c>
    </row>
    <row r="12" spans="1:12" x14ac:dyDescent="0.3">
      <c r="A12" s="1" t="s">
        <v>25</v>
      </c>
      <c r="B12" s="1" t="s">
        <v>10</v>
      </c>
      <c r="C12" s="1" t="s">
        <v>14</v>
      </c>
      <c r="D12" s="1">
        <v>2</v>
      </c>
      <c r="E12" s="1" t="s">
        <v>12</v>
      </c>
      <c r="F12" s="1" t="s">
        <v>11</v>
      </c>
      <c r="G12" s="1">
        <v>3200</v>
      </c>
      <c r="H12" s="1">
        <v>700</v>
      </c>
      <c r="I12" s="1">
        <v>70</v>
      </c>
    </row>
    <row r="13" spans="1:12" x14ac:dyDescent="0.3">
      <c r="A13" s="1" t="s">
        <v>26</v>
      </c>
      <c r="B13" s="1" t="s">
        <v>10</v>
      </c>
      <c r="C13" s="1" t="s">
        <v>14</v>
      </c>
      <c r="D13" s="1">
        <v>2</v>
      </c>
      <c r="E13" s="1" t="s">
        <v>12</v>
      </c>
      <c r="F13" s="1"/>
      <c r="G13" s="1">
        <v>2500</v>
      </c>
      <c r="H13" s="1">
        <v>1840</v>
      </c>
      <c r="I13" s="1">
        <v>109</v>
      </c>
    </row>
    <row r="14" spans="1:12" x14ac:dyDescent="0.3">
      <c r="A14" s="1" t="s">
        <v>27</v>
      </c>
      <c r="B14" s="1" t="s">
        <v>10</v>
      </c>
      <c r="C14" s="1" t="s">
        <v>14</v>
      </c>
      <c r="D14" s="1">
        <v>2</v>
      </c>
      <c r="E14" s="1" t="s">
        <v>12</v>
      </c>
      <c r="F14" s="1" t="s">
        <v>11</v>
      </c>
      <c r="G14" s="1">
        <v>3073</v>
      </c>
      <c r="H14" s="1">
        <v>8106</v>
      </c>
      <c r="I14" s="1">
        <v>200</v>
      </c>
    </row>
    <row r="15" spans="1:12" x14ac:dyDescent="0.3">
      <c r="A15" s="1" t="s">
        <v>28</v>
      </c>
      <c r="B15" s="1" t="s">
        <v>10</v>
      </c>
      <c r="C15" s="1" t="s">
        <v>11</v>
      </c>
      <c r="D15" s="1">
        <v>0</v>
      </c>
      <c r="E15" s="1" t="s">
        <v>12</v>
      </c>
      <c r="F15" s="1" t="s">
        <v>11</v>
      </c>
      <c r="G15" s="1">
        <v>1853</v>
      </c>
      <c r="H15" s="1">
        <v>2840</v>
      </c>
      <c r="I15" s="1">
        <v>114</v>
      </c>
    </row>
    <row r="16" spans="1:12" x14ac:dyDescent="0.3">
      <c r="A16" s="1" t="s">
        <v>29</v>
      </c>
      <c r="B16" s="1" t="s">
        <v>10</v>
      </c>
      <c r="C16" s="1" t="s">
        <v>14</v>
      </c>
      <c r="D16" s="1">
        <v>2</v>
      </c>
      <c r="E16" s="1" t="s">
        <v>12</v>
      </c>
      <c r="F16" s="1" t="s">
        <v>11</v>
      </c>
      <c r="G16" s="1">
        <v>1299</v>
      </c>
      <c r="H16" s="1">
        <v>1086</v>
      </c>
      <c r="I16" s="1">
        <v>17</v>
      </c>
    </row>
    <row r="17" spans="1:9" x14ac:dyDescent="0.3">
      <c r="A17" s="1" t="s">
        <v>30</v>
      </c>
      <c r="B17" s="1" t="s">
        <v>10</v>
      </c>
      <c r="C17" s="1" t="s">
        <v>11</v>
      </c>
      <c r="D17" s="1">
        <v>0</v>
      </c>
      <c r="E17" s="1" t="s">
        <v>12</v>
      </c>
      <c r="F17" s="1" t="s">
        <v>11</v>
      </c>
      <c r="G17" s="1">
        <v>4950</v>
      </c>
      <c r="H17" s="1">
        <v>0</v>
      </c>
      <c r="I17" s="1">
        <v>125</v>
      </c>
    </row>
    <row r="18" spans="1:9" x14ac:dyDescent="0.3">
      <c r="A18" s="1" t="s">
        <v>31</v>
      </c>
      <c r="B18" s="1" t="s">
        <v>10</v>
      </c>
      <c r="C18" s="1" t="s">
        <v>11</v>
      </c>
      <c r="D18" s="1">
        <v>1</v>
      </c>
      <c r="E18" s="1" t="s">
        <v>17</v>
      </c>
      <c r="F18" s="1" t="s">
        <v>11</v>
      </c>
      <c r="G18" s="1">
        <v>3596</v>
      </c>
      <c r="H18" s="1">
        <v>0</v>
      </c>
      <c r="I18" s="1">
        <v>100</v>
      </c>
    </row>
    <row r="19" spans="1:9" x14ac:dyDescent="0.3">
      <c r="A19" s="1" t="s">
        <v>32</v>
      </c>
      <c r="B19" s="1" t="s">
        <v>33</v>
      </c>
      <c r="C19" s="1" t="s">
        <v>11</v>
      </c>
      <c r="D19" s="1">
        <v>0</v>
      </c>
      <c r="E19" s="1" t="s">
        <v>12</v>
      </c>
      <c r="F19" s="1" t="s">
        <v>11</v>
      </c>
      <c r="G19" s="1">
        <v>3510</v>
      </c>
      <c r="H19" s="1">
        <v>0</v>
      </c>
      <c r="I19" s="1">
        <v>76</v>
      </c>
    </row>
    <row r="20" spans="1:9" x14ac:dyDescent="0.3">
      <c r="A20" s="1" t="s">
        <v>34</v>
      </c>
      <c r="B20" s="1" t="s">
        <v>10</v>
      </c>
      <c r="C20" s="1" t="s">
        <v>14</v>
      </c>
      <c r="D20" s="1">
        <v>0</v>
      </c>
      <c r="E20" s="1" t="s">
        <v>17</v>
      </c>
      <c r="F20" s="1" t="s">
        <v>11</v>
      </c>
      <c r="G20" s="1">
        <v>4887</v>
      </c>
      <c r="H20" s="1">
        <v>0</v>
      </c>
      <c r="I20" s="1">
        <v>133</v>
      </c>
    </row>
    <row r="21" spans="1:9" x14ac:dyDescent="0.3">
      <c r="A21" s="1" t="s">
        <v>35</v>
      </c>
      <c r="B21" s="1" t="s">
        <v>10</v>
      </c>
      <c r="C21" s="1" t="s">
        <v>14</v>
      </c>
      <c r="D21" s="1">
        <v>0</v>
      </c>
      <c r="E21" s="1" t="s">
        <v>12</v>
      </c>
      <c r="F21" s="1"/>
      <c r="G21" s="1">
        <v>2600</v>
      </c>
      <c r="H21" s="1">
        <v>3500</v>
      </c>
      <c r="I21" s="1">
        <v>115</v>
      </c>
    </row>
    <row r="22" spans="1:9" x14ac:dyDescent="0.3">
      <c r="A22" s="1" t="s">
        <v>36</v>
      </c>
      <c r="B22" s="1" t="s">
        <v>10</v>
      </c>
      <c r="C22" s="1" t="s">
        <v>14</v>
      </c>
      <c r="D22" s="1">
        <v>0</v>
      </c>
      <c r="E22" s="1" t="s">
        <v>17</v>
      </c>
      <c r="F22" s="1" t="s">
        <v>11</v>
      </c>
      <c r="G22" s="1">
        <v>7660</v>
      </c>
      <c r="H22" s="1">
        <v>0</v>
      </c>
      <c r="I22" s="1">
        <v>104</v>
      </c>
    </row>
    <row r="23" spans="1:9" x14ac:dyDescent="0.3">
      <c r="A23" s="1" t="s">
        <v>37</v>
      </c>
      <c r="B23" s="1" t="s">
        <v>10</v>
      </c>
      <c r="C23" s="1" t="s">
        <v>14</v>
      </c>
      <c r="D23" s="1">
        <v>1</v>
      </c>
      <c r="E23" s="1" t="s">
        <v>12</v>
      </c>
      <c r="F23" s="1" t="s">
        <v>11</v>
      </c>
      <c r="G23" s="1">
        <v>5955</v>
      </c>
      <c r="H23" s="1">
        <v>5625</v>
      </c>
      <c r="I23" s="1">
        <v>315</v>
      </c>
    </row>
    <row r="24" spans="1:9" x14ac:dyDescent="0.3">
      <c r="A24" s="1" t="s">
        <v>38</v>
      </c>
      <c r="B24" s="1" t="s">
        <v>10</v>
      </c>
      <c r="C24" s="1" t="s">
        <v>14</v>
      </c>
      <c r="D24" s="1">
        <v>0</v>
      </c>
      <c r="E24" s="1" t="s">
        <v>17</v>
      </c>
      <c r="F24" s="1" t="s">
        <v>11</v>
      </c>
      <c r="G24" s="1">
        <v>2600</v>
      </c>
      <c r="H24" s="1">
        <v>1911</v>
      </c>
      <c r="I24" s="1">
        <v>116</v>
      </c>
    </row>
    <row r="25" spans="1:9" x14ac:dyDescent="0.3">
      <c r="A25" s="1" t="s">
        <v>39</v>
      </c>
      <c r="B25" s="1"/>
      <c r="C25" s="1" t="s">
        <v>14</v>
      </c>
      <c r="D25" s="1">
        <v>2</v>
      </c>
      <c r="E25" s="1" t="s">
        <v>17</v>
      </c>
      <c r="F25" s="1" t="s">
        <v>11</v>
      </c>
      <c r="G25" s="1">
        <v>3365</v>
      </c>
      <c r="H25" s="1">
        <v>1917</v>
      </c>
      <c r="I25" s="1">
        <v>112</v>
      </c>
    </row>
  </sheetData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zoomScale="99" zoomScaleNormal="130" workbookViewId="0">
      <selection sqref="A1:I25"/>
    </sheetView>
  </sheetViews>
  <sheetFormatPr defaultRowHeight="14.4" x14ac:dyDescent="0.3"/>
  <cols>
    <col min="4" max="4" width="10.77734375" customWidth="1"/>
    <col min="5" max="5" width="12.44140625" customWidth="1"/>
    <col min="6" max="6" width="13.109375" customWidth="1"/>
    <col min="7" max="7" width="15.21875" customWidth="1"/>
    <col min="8" max="8" width="18.44140625" customWidth="1"/>
    <col min="9" max="9" width="11.88671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>
        <v>0</v>
      </c>
      <c r="E2" s="1" t="s">
        <v>12</v>
      </c>
      <c r="F2" s="1" t="s">
        <v>11</v>
      </c>
      <c r="G2" s="1">
        <v>5849</v>
      </c>
      <c r="H2" s="1">
        <v>0</v>
      </c>
      <c r="I2" s="1"/>
    </row>
    <row r="3" spans="1:9" x14ac:dyDescent="0.3">
      <c r="A3" s="1" t="s">
        <v>13</v>
      </c>
      <c r="B3" s="1" t="s">
        <v>10</v>
      </c>
      <c r="C3" s="1" t="s">
        <v>14</v>
      </c>
      <c r="D3" s="1">
        <v>1</v>
      </c>
      <c r="E3" s="1" t="s">
        <v>12</v>
      </c>
      <c r="F3" s="1" t="s">
        <v>11</v>
      </c>
      <c r="G3" s="1">
        <v>4583</v>
      </c>
      <c r="H3" s="1">
        <v>1508</v>
      </c>
      <c r="I3" s="1">
        <v>128</v>
      </c>
    </row>
    <row r="4" spans="1:9" x14ac:dyDescent="0.3">
      <c r="A4" s="1" t="s">
        <v>15</v>
      </c>
      <c r="B4" s="1" t="s">
        <v>10</v>
      </c>
      <c r="C4" s="1" t="s">
        <v>14</v>
      </c>
      <c r="D4" s="1">
        <v>0</v>
      </c>
      <c r="E4" s="1" t="s">
        <v>12</v>
      </c>
      <c r="F4" s="1" t="s">
        <v>14</v>
      </c>
      <c r="G4" s="1">
        <v>3000</v>
      </c>
      <c r="H4" s="1">
        <v>0</v>
      </c>
      <c r="I4" s="1">
        <v>66</v>
      </c>
    </row>
    <row r="5" spans="1:9" x14ac:dyDescent="0.3">
      <c r="A5" s="1" t="s">
        <v>16</v>
      </c>
      <c r="B5" s="1" t="s">
        <v>10</v>
      </c>
      <c r="C5" s="1" t="s">
        <v>14</v>
      </c>
      <c r="D5" s="1">
        <v>0</v>
      </c>
      <c r="E5" s="1" t="s">
        <v>17</v>
      </c>
      <c r="F5" s="1" t="s">
        <v>11</v>
      </c>
      <c r="G5" s="1">
        <v>2583</v>
      </c>
      <c r="H5" s="1">
        <v>2358</v>
      </c>
      <c r="I5" s="1">
        <v>120</v>
      </c>
    </row>
    <row r="6" spans="1:9" x14ac:dyDescent="0.3">
      <c r="A6" s="1" t="s">
        <v>18</v>
      </c>
      <c r="B6" s="1" t="s">
        <v>10</v>
      </c>
      <c r="C6" s="1" t="s">
        <v>11</v>
      </c>
      <c r="D6" s="1">
        <v>0</v>
      </c>
      <c r="E6" s="1" t="s">
        <v>12</v>
      </c>
      <c r="F6" s="1" t="s">
        <v>11</v>
      </c>
      <c r="G6" s="1">
        <v>6000</v>
      </c>
      <c r="H6" s="1">
        <v>0</v>
      </c>
      <c r="I6" s="1">
        <v>141</v>
      </c>
    </row>
    <row r="7" spans="1:9" x14ac:dyDescent="0.3">
      <c r="A7" s="1" t="s">
        <v>19</v>
      </c>
      <c r="B7" s="1" t="s">
        <v>10</v>
      </c>
      <c r="C7" s="1" t="s">
        <v>14</v>
      </c>
      <c r="D7" s="1">
        <v>2</v>
      </c>
      <c r="E7" s="1" t="s">
        <v>12</v>
      </c>
      <c r="F7" s="1" t="s">
        <v>14</v>
      </c>
      <c r="G7" s="1">
        <v>5417</v>
      </c>
      <c r="H7" s="1">
        <v>4196</v>
      </c>
      <c r="I7" s="1">
        <v>267</v>
      </c>
    </row>
    <row r="8" spans="1:9" x14ac:dyDescent="0.3">
      <c r="A8" s="1" t="s">
        <v>20</v>
      </c>
      <c r="B8" s="1" t="s">
        <v>10</v>
      </c>
      <c r="C8" s="1" t="s">
        <v>14</v>
      </c>
      <c r="D8" s="1">
        <v>0</v>
      </c>
      <c r="E8" s="1" t="s">
        <v>17</v>
      </c>
      <c r="F8" s="1" t="s">
        <v>11</v>
      </c>
      <c r="G8" s="1">
        <v>2333</v>
      </c>
      <c r="H8" s="1">
        <v>1516</v>
      </c>
      <c r="I8" s="1">
        <v>95</v>
      </c>
    </row>
    <row r="9" spans="1:9" x14ac:dyDescent="0.3">
      <c r="A9" s="1" t="s">
        <v>21</v>
      </c>
      <c r="B9" s="1" t="s">
        <v>10</v>
      </c>
      <c r="C9" s="1" t="s">
        <v>14</v>
      </c>
      <c r="D9" s="1" t="s">
        <v>22</v>
      </c>
      <c r="E9" s="1" t="s">
        <v>12</v>
      </c>
      <c r="F9" s="1" t="s">
        <v>11</v>
      </c>
      <c r="G9" s="1">
        <v>3036</v>
      </c>
      <c r="H9" s="1">
        <v>2504</v>
      </c>
      <c r="I9" s="1">
        <v>158</v>
      </c>
    </row>
    <row r="10" spans="1:9" x14ac:dyDescent="0.3">
      <c r="A10" s="1" t="s">
        <v>23</v>
      </c>
      <c r="B10" s="1" t="s">
        <v>10</v>
      </c>
      <c r="C10" s="1" t="s">
        <v>14</v>
      </c>
      <c r="D10" s="1">
        <v>2</v>
      </c>
      <c r="E10" s="1" t="s">
        <v>12</v>
      </c>
      <c r="F10" s="1" t="s">
        <v>11</v>
      </c>
      <c r="G10" s="1">
        <v>4006</v>
      </c>
      <c r="H10" s="1">
        <v>1526</v>
      </c>
      <c r="I10" s="1">
        <v>168</v>
      </c>
    </row>
    <row r="11" spans="1:9" x14ac:dyDescent="0.3">
      <c r="A11" s="1" t="s">
        <v>24</v>
      </c>
      <c r="B11" s="1" t="s">
        <v>10</v>
      </c>
      <c r="C11" s="1" t="s">
        <v>14</v>
      </c>
      <c r="D11" s="1">
        <v>1</v>
      </c>
      <c r="E11" s="1" t="s">
        <v>12</v>
      </c>
      <c r="F11" s="1" t="s">
        <v>11</v>
      </c>
      <c r="G11" s="1">
        <v>12841</v>
      </c>
      <c r="H11" s="1">
        <v>10968</v>
      </c>
      <c r="I11" s="1">
        <v>349</v>
      </c>
    </row>
    <row r="12" spans="1:9" x14ac:dyDescent="0.3">
      <c r="A12" s="1" t="s">
        <v>25</v>
      </c>
      <c r="B12" s="1" t="s">
        <v>10</v>
      </c>
      <c r="C12" s="1" t="s">
        <v>14</v>
      </c>
      <c r="D12" s="1">
        <v>2</v>
      </c>
      <c r="E12" s="1" t="s">
        <v>12</v>
      </c>
      <c r="F12" s="1" t="s">
        <v>11</v>
      </c>
      <c r="G12" s="1">
        <v>3200</v>
      </c>
      <c r="H12" s="1">
        <v>700</v>
      </c>
      <c r="I12" s="1">
        <v>70</v>
      </c>
    </row>
    <row r="13" spans="1:9" x14ac:dyDescent="0.3">
      <c r="A13" s="1" t="s">
        <v>26</v>
      </c>
      <c r="B13" s="1" t="s">
        <v>10</v>
      </c>
      <c r="C13" s="1" t="s">
        <v>14</v>
      </c>
      <c r="D13" s="1">
        <v>2</v>
      </c>
      <c r="E13" s="1" t="s">
        <v>12</v>
      </c>
      <c r="F13" s="1"/>
      <c r="G13" s="1">
        <v>2500</v>
      </c>
      <c r="H13" s="1">
        <v>1840</v>
      </c>
      <c r="I13" s="1">
        <v>109</v>
      </c>
    </row>
    <row r="14" spans="1:9" x14ac:dyDescent="0.3">
      <c r="A14" s="1" t="s">
        <v>27</v>
      </c>
      <c r="B14" s="1" t="s">
        <v>10</v>
      </c>
      <c r="C14" s="1" t="s">
        <v>14</v>
      </c>
      <c r="D14" s="1">
        <v>2</v>
      </c>
      <c r="E14" s="1" t="s">
        <v>12</v>
      </c>
      <c r="F14" s="1" t="s">
        <v>11</v>
      </c>
      <c r="G14" s="1">
        <v>3073</v>
      </c>
      <c r="H14" s="1">
        <v>8106</v>
      </c>
      <c r="I14" s="1">
        <v>200</v>
      </c>
    </row>
    <row r="15" spans="1:9" x14ac:dyDescent="0.3">
      <c r="A15" s="1" t="s">
        <v>28</v>
      </c>
      <c r="B15" s="1" t="s">
        <v>10</v>
      </c>
      <c r="C15" s="1" t="s">
        <v>11</v>
      </c>
      <c r="D15" s="1">
        <v>0</v>
      </c>
      <c r="E15" s="1" t="s">
        <v>12</v>
      </c>
      <c r="F15" s="1" t="s">
        <v>11</v>
      </c>
      <c r="G15" s="1">
        <v>1853</v>
      </c>
      <c r="H15" s="1">
        <v>2840</v>
      </c>
      <c r="I15" s="1">
        <v>114</v>
      </c>
    </row>
    <row r="16" spans="1:9" x14ac:dyDescent="0.3">
      <c r="A16" s="1" t="s">
        <v>29</v>
      </c>
      <c r="B16" s="1" t="s">
        <v>10</v>
      </c>
      <c r="C16" s="1" t="s">
        <v>14</v>
      </c>
      <c r="D16" s="1">
        <v>2</v>
      </c>
      <c r="E16" s="1" t="s">
        <v>12</v>
      </c>
      <c r="F16" s="1" t="s">
        <v>11</v>
      </c>
      <c r="G16" s="1">
        <v>1299</v>
      </c>
      <c r="H16" s="1">
        <v>1086</v>
      </c>
      <c r="I16" s="1">
        <v>17</v>
      </c>
    </row>
    <row r="17" spans="1:9" x14ac:dyDescent="0.3">
      <c r="A17" s="1" t="s">
        <v>30</v>
      </c>
      <c r="B17" s="1" t="s">
        <v>10</v>
      </c>
      <c r="C17" s="1" t="s">
        <v>11</v>
      </c>
      <c r="D17" s="1">
        <v>0</v>
      </c>
      <c r="E17" s="1" t="s">
        <v>12</v>
      </c>
      <c r="F17" s="1" t="s">
        <v>11</v>
      </c>
      <c r="G17" s="1">
        <v>4950</v>
      </c>
      <c r="H17" s="1">
        <v>0</v>
      </c>
      <c r="I17" s="1">
        <v>125</v>
      </c>
    </row>
    <row r="18" spans="1:9" x14ac:dyDescent="0.3">
      <c r="A18" s="1" t="s">
        <v>31</v>
      </c>
      <c r="B18" s="1" t="s">
        <v>10</v>
      </c>
      <c r="C18" s="1" t="s">
        <v>11</v>
      </c>
      <c r="D18" s="1">
        <v>1</v>
      </c>
      <c r="E18" s="1" t="s">
        <v>17</v>
      </c>
      <c r="F18" s="1" t="s">
        <v>11</v>
      </c>
      <c r="G18" s="1">
        <v>3596</v>
      </c>
      <c r="H18" s="1">
        <v>0</v>
      </c>
      <c r="I18" s="1">
        <v>100</v>
      </c>
    </row>
    <row r="19" spans="1:9" x14ac:dyDescent="0.3">
      <c r="A19" s="1" t="s">
        <v>32</v>
      </c>
      <c r="B19" s="1" t="s">
        <v>33</v>
      </c>
      <c r="C19" s="1" t="s">
        <v>11</v>
      </c>
      <c r="D19" s="1">
        <v>0</v>
      </c>
      <c r="E19" s="1" t="s">
        <v>12</v>
      </c>
      <c r="F19" s="1" t="s">
        <v>11</v>
      </c>
      <c r="G19" s="1">
        <v>3510</v>
      </c>
      <c r="H19" s="1">
        <v>0</v>
      </c>
      <c r="I19" s="1">
        <v>76</v>
      </c>
    </row>
    <row r="20" spans="1:9" x14ac:dyDescent="0.3">
      <c r="A20" s="1" t="s">
        <v>34</v>
      </c>
      <c r="B20" s="1" t="s">
        <v>10</v>
      </c>
      <c r="C20" s="1" t="s">
        <v>14</v>
      </c>
      <c r="D20" s="1">
        <v>0</v>
      </c>
      <c r="E20" s="1" t="s">
        <v>17</v>
      </c>
      <c r="F20" s="1" t="s">
        <v>11</v>
      </c>
      <c r="G20" s="1">
        <v>4887</v>
      </c>
      <c r="H20" s="1">
        <v>0</v>
      </c>
      <c r="I20" s="1">
        <v>133</v>
      </c>
    </row>
    <row r="21" spans="1:9" x14ac:dyDescent="0.3">
      <c r="A21" s="1" t="s">
        <v>35</v>
      </c>
      <c r="B21" s="1" t="s">
        <v>10</v>
      </c>
      <c r="C21" s="1" t="s">
        <v>14</v>
      </c>
      <c r="D21" s="1">
        <v>0</v>
      </c>
      <c r="E21" s="1" t="s">
        <v>12</v>
      </c>
      <c r="F21" s="1"/>
      <c r="G21" s="1">
        <v>2600</v>
      </c>
      <c r="H21" s="1">
        <v>3500</v>
      </c>
      <c r="I21" s="1">
        <v>115</v>
      </c>
    </row>
    <row r="22" spans="1:9" x14ac:dyDescent="0.3">
      <c r="A22" s="1" t="s">
        <v>36</v>
      </c>
      <c r="B22" s="1" t="s">
        <v>10</v>
      </c>
      <c r="C22" s="1" t="s">
        <v>14</v>
      </c>
      <c r="D22" s="1">
        <v>0</v>
      </c>
      <c r="E22" s="1" t="s">
        <v>17</v>
      </c>
      <c r="F22" s="1" t="s">
        <v>11</v>
      </c>
      <c r="G22" s="1">
        <v>7660</v>
      </c>
      <c r="H22" s="1">
        <v>0</v>
      </c>
      <c r="I22" s="1">
        <v>104</v>
      </c>
    </row>
    <row r="23" spans="1:9" x14ac:dyDescent="0.3">
      <c r="A23" s="1" t="s">
        <v>37</v>
      </c>
      <c r="B23" s="1" t="s">
        <v>10</v>
      </c>
      <c r="C23" s="1" t="s">
        <v>14</v>
      </c>
      <c r="D23" s="1">
        <v>1</v>
      </c>
      <c r="E23" s="1" t="s">
        <v>12</v>
      </c>
      <c r="F23" s="1" t="s">
        <v>11</v>
      </c>
      <c r="G23" s="1">
        <v>5955</v>
      </c>
      <c r="H23" s="1">
        <v>5625</v>
      </c>
      <c r="I23" s="1">
        <v>315</v>
      </c>
    </row>
    <row r="24" spans="1:9" x14ac:dyDescent="0.3">
      <c r="A24" s="1" t="s">
        <v>38</v>
      </c>
      <c r="B24" s="1" t="s">
        <v>10</v>
      </c>
      <c r="C24" s="1" t="s">
        <v>14</v>
      </c>
      <c r="D24" s="1">
        <v>0</v>
      </c>
      <c r="E24" s="1" t="s">
        <v>17</v>
      </c>
      <c r="F24" s="1" t="s">
        <v>11</v>
      </c>
      <c r="G24" s="1">
        <v>2600</v>
      </c>
      <c r="H24" s="1">
        <v>1911</v>
      </c>
      <c r="I24" s="1">
        <v>116</v>
      </c>
    </row>
    <row r="25" spans="1:9" x14ac:dyDescent="0.3">
      <c r="A25" s="1" t="s">
        <v>39</v>
      </c>
      <c r="B25" s="1"/>
      <c r="C25" s="1" t="s">
        <v>14</v>
      </c>
      <c r="D25" s="1">
        <v>2</v>
      </c>
      <c r="E25" s="1" t="s">
        <v>17</v>
      </c>
      <c r="F25" s="1" t="s">
        <v>11</v>
      </c>
      <c r="G25" s="1">
        <v>3365</v>
      </c>
      <c r="H25" s="1">
        <v>1917</v>
      </c>
      <c r="I25" s="1">
        <v>112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I27" sqref="I27"/>
    </sheetView>
  </sheetViews>
  <sheetFormatPr defaultRowHeight="14.4" x14ac:dyDescent="0.3"/>
  <cols>
    <col min="4" max="4" width="11.109375" customWidth="1"/>
    <col min="5" max="5" width="12.109375" customWidth="1"/>
    <col min="6" max="6" width="15.21875" customWidth="1"/>
    <col min="7" max="8" width="15" customWidth="1"/>
    <col min="9" max="9" width="18.44140625" customWidth="1"/>
    <col min="10" max="10" width="13.6640625" customWidth="1"/>
    <col min="13" max="13" width="49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  <c r="J1" s="2" t="s">
        <v>8</v>
      </c>
    </row>
    <row r="2" spans="1:13" x14ac:dyDescent="0.3">
      <c r="A2" s="1" t="s">
        <v>29</v>
      </c>
      <c r="B2" s="1" t="s">
        <v>10</v>
      </c>
      <c r="C2" s="1" t="s">
        <v>14</v>
      </c>
      <c r="D2" s="1">
        <v>2</v>
      </c>
      <c r="E2" s="1" t="s">
        <v>12</v>
      </c>
      <c r="F2" s="1" t="s">
        <v>11</v>
      </c>
      <c r="G2" s="1">
        <v>1299</v>
      </c>
      <c r="H2" s="1"/>
      <c r="I2" s="1">
        <v>1086</v>
      </c>
      <c r="J2" s="1">
        <v>17</v>
      </c>
    </row>
    <row r="3" spans="1:13" x14ac:dyDescent="0.3">
      <c r="A3" s="1" t="s">
        <v>28</v>
      </c>
      <c r="B3" s="1" t="s">
        <v>10</v>
      </c>
      <c r="C3" s="1" t="s">
        <v>11</v>
      </c>
      <c r="D3" s="1">
        <v>0</v>
      </c>
      <c r="E3" s="1" t="s">
        <v>12</v>
      </c>
      <c r="F3" s="1" t="s">
        <v>11</v>
      </c>
      <c r="G3" s="1">
        <v>1853</v>
      </c>
      <c r="H3" s="1"/>
      <c r="I3" s="1">
        <v>2840</v>
      </c>
      <c r="J3" s="1">
        <v>114</v>
      </c>
      <c r="M3" t="s">
        <v>44</v>
      </c>
    </row>
    <row r="4" spans="1:13" x14ac:dyDescent="0.3">
      <c r="A4" s="1" t="s">
        <v>20</v>
      </c>
      <c r="B4" s="1" t="s">
        <v>10</v>
      </c>
      <c r="C4" s="1" t="s">
        <v>14</v>
      </c>
      <c r="D4" s="1">
        <v>0</v>
      </c>
      <c r="E4" s="1" t="s">
        <v>17</v>
      </c>
      <c r="F4" s="1" t="s">
        <v>11</v>
      </c>
      <c r="G4" s="1">
        <v>2333</v>
      </c>
      <c r="H4" s="1"/>
      <c r="I4" s="1">
        <v>1516</v>
      </c>
      <c r="J4" s="1">
        <v>95</v>
      </c>
    </row>
    <row r="5" spans="1:13" x14ac:dyDescent="0.3">
      <c r="A5" s="1" t="s">
        <v>26</v>
      </c>
      <c r="B5" s="1" t="s">
        <v>10</v>
      </c>
      <c r="C5" s="1" t="s">
        <v>14</v>
      </c>
      <c r="D5" s="1">
        <v>2</v>
      </c>
      <c r="E5" s="1" t="s">
        <v>12</v>
      </c>
      <c r="F5" s="1"/>
      <c r="G5" s="1">
        <v>2500</v>
      </c>
      <c r="H5" s="1"/>
      <c r="I5" s="1">
        <v>1840</v>
      </c>
      <c r="J5" s="1">
        <v>109</v>
      </c>
    </row>
    <row r="6" spans="1:13" x14ac:dyDescent="0.3">
      <c r="A6" s="1" t="s">
        <v>16</v>
      </c>
      <c r="B6" s="1" t="s">
        <v>10</v>
      </c>
      <c r="C6" s="1" t="s">
        <v>14</v>
      </c>
      <c r="D6" s="1">
        <v>0</v>
      </c>
      <c r="E6" s="1" t="s">
        <v>17</v>
      </c>
      <c r="F6" s="1" t="s">
        <v>11</v>
      </c>
      <c r="G6" s="1">
        <v>2583</v>
      </c>
      <c r="H6" s="1"/>
      <c r="I6" s="1">
        <v>2358</v>
      </c>
      <c r="J6" s="1">
        <v>120</v>
      </c>
    </row>
    <row r="7" spans="1:13" x14ac:dyDescent="0.3">
      <c r="A7" s="1" t="s">
        <v>35</v>
      </c>
      <c r="B7" s="1" t="s">
        <v>10</v>
      </c>
      <c r="C7" s="1" t="s">
        <v>14</v>
      </c>
      <c r="D7" s="1">
        <v>0</v>
      </c>
      <c r="E7" s="1" t="s">
        <v>12</v>
      </c>
      <c r="F7" s="1"/>
      <c r="G7" s="1">
        <v>2600</v>
      </c>
      <c r="H7" s="1"/>
      <c r="I7" s="1">
        <v>3500</v>
      </c>
      <c r="J7" s="1">
        <v>115</v>
      </c>
    </row>
    <row r="8" spans="1:13" x14ac:dyDescent="0.3">
      <c r="A8" s="1" t="s">
        <v>38</v>
      </c>
      <c r="B8" s="1" t="s">
        <v>10</v>
      </c>
      <c r="C8" s="1" t="s">
        <v>14</v>
      </c>
      <c r="D8" s="1">
        <v>0</v>
      </c>
      <c r="E8" s="1" t="s">
        <v>17</v>
      </c>
      <c r="F8" s="1" t="s">
        <v>11</v>
      </c>
      <c r="G8" s="1">
        <v>2600</v>
      </c>
      <c r="H8" s="1"/>
      <c r="I8" s="1">
        <v>1911</v>
      </c>
      <c r="J8" s="1">
        <v>116</v>
      </c>
    </row>
    <row r="9" spans="1:13" x14ac:dyDescent="0.3">
      <c r="A9" s="1" t="s">
        <v>15</v>
      </c>
      <c r="B9" s="1" t="s">
        <v>10</v>
      </c>
      <c r="C9" s="1" t="s">
        <v>14</v>
      </c>
      <c r="D9" s="1">
        <v>0</v>
      </c>
      <c r="E9" s="1" t="s">
        <v>12</v>
      </c>
      <c r="F9" s="1" t="s">
        <v>14</v>
      </c>
      <c r="G9" s="1">
        <v>3000</v>
      </c>
      <c r="H9" s="1"/>
      <c r="I9" s="1">
        <v>0</v>
      </c>
      <c r="J9" s="1">
        <v>66</v>
      </c>
    </row>
    <row r="10" spans="1:13" x14ac:dyDescent="0.3">
      <c r="A10" s="1" t="s">
        <v>21</v>
      </c>
      <c r="B10" s="1" t="s">
        <v>10</v>
      </c>
      <c r="C10" s="1" t="s">
        <v>14</v>
      </c>
      <c r="D10" s="1" t="s">
        <v>22</v>
      </c>
      <c r="E10" s="1" t="s">
        <v>12</v>
      </c>
      <c r="F10" s="1" t="s">
        <v>11</v>
      </c>
      <c r="G10" s="1">
        <v>3036</v>
      </c>
      <c r="H10" s="1"/>
      <c r="I10" s="1">
        <v>2504</v>
      </c>
      <c r="J10" s="1">
        <v>158</v>
      </c>
    </row>
    <row r="11" spans="1:13" x14ac:dyDescent="0.3">
      <c r="A11" s="1" t="s">
        <v>27</v>
      </c>
      <c r="B11" s="1" t="s">
        <v>10</v>
      </c>
      <c r="C11" s="1" t="s">
        <v>14</v>
      </c>
      <c r="D11" s="1">
        <v>2</v>
      </c>
      <c r="E11" s="1" t="s">
        <v>12</v>
      </c>
      <c r="F11" s="1" t="s">
        <v>11</v>
      </c>
      <c r="G11" s="1">
        <v>3073</v>
      </c>
      <c r="H11" s="1"/>
      <c r="I11" s="1">
        <v>8106</v>
      </c>
      <c r="J11" s="1">
        <v>200</v>
      </c>
    </row>
    <row r="12" spans="1:13" x14ac:dyDescent="0.3">
      <c r="A12" s="1" t="s">
        <v>25</v>
      </c>
      <c r="B12" s="1" t="s">
        <v>10</v>
      </c>
      <c r="C12" s="1" t="s">
        <v>14</v>
      </c>
      <c r="D12" s="1">
        <v>2</v>
      </c>
      <c r="E12" s="1" t="s">
        <v>12</v>
      </c>
      <c r="F12" s="1" t="s">
        <v>11</v>
      </c>
      <c r="G12" s="1">
        <v>3200</v>
      </c>
      <c r="H12" s="1"/>
      <c r="I12" s="1">
        <v>700</v>
      </c>
      <c r="J12" s="1">
        <v>70</v>
      </c>
    </row>
    <row r="13" spans="1:13" x14ac:dyDescent="0.3">
      <c r="A13" s="1" t="s">
        <v>39</v>
      </c>
      <c r="B13" s="1"/>
      <c r="C13" s="1" t="s">
        <v>14</v>
      </c>
      <c r="D13" s="1">
        <v>2</v>
      </c>
      <c r="E13" s="1" t="s">
        <v>17</v>
      </c>
      <c r="F13" s="1" t="s">
        <v>11</v>
      </c>
      <c r="G13" s="1">
        <v>3365</v>
      </c>
      <c r="H13" s="1"/>
      <c r="I13" s="1">
        <v>1917</v>
      </c>
      <c r="J13" s="1">
        <v>112</v>
      </c>
    </row>
    <row r="14" spans="1:13" x14ac:dyDescent="0.3">
      <c r="A14" s="1" t="s">
        <v>32</v>
      </c>
      <c r="B14" s="1" t="s">
        <v>33</v>
      </c>
      <c r="C14" s="1" t="s">
        <v>11</v>
      </c>
      <c r="D14" s="1">
        <v>0</v>
      </c>
      <c r="E14" s="1" t="s">
        <v>12</v>
      </c>
      <c r="F14" s="1" t="s">
        <v>11</v>
      </c>
      <c r="G14" s="1">
        <v>3510</v>
      </c>
      <c r="H14" s="1"/>
      <c r="I14" s="1">
        <v>0</v>
      </c>
      <c r="J14" s="1">
        <v>76</v>
      </c>
    </row>
    <row r="15" spans="1:13" x14ac:dyDescent="0.3">
      <c r="A15" s="1" t="s">
        <v>31</v>
      </c>
      <c r="B15" s="1" t="s">
        <v>10</v>
      </c>
      <c r="C15" s="1" t="s">
        <v>11</v>
      </c>
      <c r="D15" s="1">
        <v>1</v>
      </c>
      <c r="E15" s="1" t="s">
        <v>17</v>
      </c>
      <c r="F15" s="1" t="s">
        <v>11</v>
      </c>
      <c r="G15" s="1">
        <v>3596</v>
      </c>
      <c r="H15" s="1"/>
      <c r="I15" s="1">
        <v>0</v>
      </c>
      <c r="J15" s="1">
        <v>100</v>
      </c>
    </row>
    <row r="16" spans="1:13" x14ac:dyDescent="0.3">
      <c r="A16" s="1" t="s">
        <v>23</v>
      </c>
      <c r="B16" s="1" t="s">
        <v>10</v>
      </c>
      <c r="C16" s="1" t="s">
        <v>14</v>
      </c>
      <c r="D16" s="1">
        <v>2</v>
      </c>
      <c r="E16" s="1" t="s">
        <v>12</v>
      </c>
      <c r="F16" s="1" t="s">
        <v>11</v>
      </c>
      <c r="G16" s="1">
        <v>4006</v>
      </c>
      <c r="H16" s="1"/>
      <c r="I16" s="1">
        <v>1526</v>
      </c>
      <c r="J16" s="1">
        <v>168</v>
      </c>
    </row>
    <row r="17" spans="1:10" x14ac:dyDescent="0.3">
      <c r="A17" s="1" t="s">
        <v>13</v>
      </c>
      <c r="B17" s="1" t="s">
        <v>10</v>
      </c>
      <c r="C17" s="1" t="s">
        <v>14</v>
      </c>
      <c r="D17" s="1">
        <v>1</v>
      </c>
      <c r="E17" s="1" t="s">
        <v>12</v>
      </c>
      <c r="F17" s="1" t="s">
        <v>11</v>
      </c>
      <c r="G17" s="1">
        <v>4583</v>
      </c>
      <c r="H17" s="1"/>
      <c r="I17" s="1">
        <v>1508</v>
      </c>
      <c r="J17" s="1">
        <v>128</v>
      </c>
    </row>
    <row r="18" spans="1:10" x14ac:dyDescent="0.3">
      <c r="A18" s="1" t="s">
        <v>34</v>
      </c>
      <c r="B18" s="1" t="s">
        <v>10</v>
      </c>
      <c r="C18" s="1" t="s">
        <v>14</v>
      </c>
      <c r="D18" s="1">
        <v>0</v>
      </c>
      <c r="E18" s="1" t="s">
        <v>17</v>
      </c>
      <c r="F18" s="1" t="s">
        <v>11</v>
      </c>
      <c r="G18" s="1">
        <v>4887</v>
      </c>
      <c r="H18" s="1"/>
      <c r="I18" s="1">
        <v>0</v>
      </c>
      <c r="J18" s="1">
        <v>133</v>
      </c>
    </row>
    <row r="19" spans="1:10" x14ac:dyDescent="0.3">
      <c r="A19" s="1" t="s">
        <v>30</v>
      </c>
      <c r="B19" s="1" t="s">
        <v>10</v>
      </c>
      <c r="C19" s="1" t="s">
        <v>11</v>
      </c>
      <c r="D19" s="1">
        <v>0</v>
      </c>
      <c r="E19" s="1" t="s">
        <v>12</v>
      </c>
      <c r="F19" s="1" t="s">
        <v>11</v>
      </c>
      <c r="G19" s="1">
        <v>4950</v>
      </c>
      <c r="H19" s="1"/>
      <c r="I19" s="1">
        <v>0</v>
      </c>
      <c r="J19" s="1">
        <v>125</v>
      </c>
    </row>
    <row r="20" spans="1:10" x14ac:dyDescent="0.3">
      <c r="A20" s="1" t="s">
        <v>19</v>
      </c>
      <c r="B20" s="1" t="s">
        <v>10</v>
      </c>
      <c r="C20" s="1" t="s">
        <v>14</v>
      </c>
      <c r="D20" s="1">
        <v>2</v>
      </c>
      <c r="E20" s="1" t="s">
        <v>12</v>
      </c>
      <c r="F20" s="1" t="s">
        <v>14</v>
      </c>
      <c r="G20" s="1">
        <v>5417</v>
      </c>
      <c r="H20" s="1"/>
      <c r="I20" s="1">
        <v>4196</v>
      </c>
      <c r="J20" s="1">
        <v>267</v>
      </c>
    </row>
    <row r="21" spans="1:10" x14ac:dyDescent="0.3">
      <c r="A21" s="1" t="s">
        <v>9</v>
      </c>
      <c r="B21" s="1" t="s">
        <v>10</v>
      </c>
      <c r="C21" s="1" t="s">
        <v>11</v>
      </c>
      <c r="D21" s="1">
        <v>0</v>
      </c>
      <c r="E21" s="1" t="s">
        <v>12</v>
      </c>
      <c r="F21" s="1" t="s">
        <v>11</v>
      </c>
      <c r="G21" s="1">
        <v>5849</v>
      </c>
      <c r="H21" s="1"/>
      <c r="I21" s="1">
        <v>0</v>
      </c>
      <c r="J21" s="1"/>
    </row>
    <row r="22" spans="1:10" x14ac:dyDescent="0.3">
      <c r="A22" s="1" t="s">
        <v>37</v>
      </c>
      <c r="B22" s="1" t="s">
        <v>10</v>
      </c>
      <c r="C22" s="1" t="s">
        <v>14</v>
      </c>
      <c r="D22" s="1">
        <v>1</v>
      </c>
      <c r="E22" s="1" t="s">
        <v>12</v>
      </c>
      <c r="F22" s="1" t="s">
        <v>11</v>
      </c>
      <c r="G22" s="1">
        <v>5955</v>
      </c>
      <c r="H22" s="1"/>
      <c r="I22" s="1">
        <v>5625</v>
      </c>
      <c r="J22" s="1">
        <v>315</v>
      </c>
    </row>
    <row r="23" spans="1:10" x14ac:dyDescent="0.3">
      <c r="A23" s="1" t="s">
        <v>18</v>
      </c>
      <c r="B23" s="1" t="s">
        <v>10</v>
      </c>
      <c r="C23" s="1" t="s">
        <v>11</v>
      </c>
      <c r="D23" s="1">
        <v>0</v>
      </c>
      <c r="E23" s="1" t="s">
        <v>12</v>
      </c>
      <c r="F23" s="1" t="s">
        <v>11</v>
      </c>
      <c r="G23" s="1">
        <v>6000</v>
      </c>
      <c r="H23" s="1"/>
      <c r="I23" s="1">
        <v>0</v>
      </c>
      <c r="J23" s="1">
        <v>141</v>
      </c>
    </row>
    <row r="24" spans="1:10" x14ac:dyDescent="0.3">
      <c r="A24" s="1" t="s">
        <v>36</v>
      </c>
      <c r="B24" s="1" t="s">
        <v>10</v>
      </c>
      <c r="C24" s="1" t="s">
        <v>14</v>
      </c>
      <c r="D24" s="1">
        <v>0</v>
      </c>
      <c r="E24" s="1" t="s">
        <v>17</v>
      </c>
      <c r="F24" s="1" t="s">
        <v>11</v>
      </c>
      <c r="G24" s="1">
        <v>7660</v>
      </c>
      <c r="H24" s="1"/>
      <c r="I24" s="1">
        <v>0</v>
      </c>
      <c r="J24" s="1">
        <v>104</v>
      </c>
    </row>
    <row r="25" spans="1:10" x14ac:dyDescent="0.3">
      <c r="A25" s="1" t="s">
        <v>24</v>
      </c>
      <c r="B25" s="1" t="s">
        <v>10</v>
      </c>
      <c r="C25" s="1" t="s">
        <v>14</v>
      </c>
      <c r="D25" s="1">
        <v>1</v>
      </c>
      <c r="E25" s="1" t="s">
        <v>12</v>
      </c>
      <c r="F25" s="1" t="s">
        <v>11</v>
      </c>
      <c r="G25" s="1">
        <v>12841</v>
      </c>
      <c r="H25" s="1"/>
      <c r="I25" s="1">
        <v>10968</v>
      </c>
      <c r="J25" s="1">
        <v>349</v>
      </c>
    </row>
  </sheetData>
  <sortState xmlns:xlrd2="http://schemas.microsoft.com/office/spreadsheetml/2017/richdata2" ref="A2:J25">
    <sortCondition ref="G1:G2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L10" sqref="L10"/>
    </sheetView>
  </sheetViews>
  <sheetFormatPr defaultRowHeight="14.4" x14ac:dyDescent="0.3"/>
  <cols>
    <col min="4" max="4" width="11" customWidth="1"/>
    <col min="5" max="5" width="11.44140625" customWidth="1"/>
    <col min="6" max="6" width="13.5546875" customWidth="1"/>
    <col min="7" max="7" width="14.88671875" customWidth="1"/>
    <col min="8" max="8" width="17.21875" customWidth="1"/>
    <col min="9" max="9" width="12.88671875" customWidth="1"/>
    <col min="12" max="12" width="16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2" x14ac:dyDescent="0.3">
      <c r="A2" s="1" t="s">
        <v>9</v>
      </c>
      <c r="B2" s="1" t="s">
        <v>10</v>
      </c>
      <c r="C2" s="1" t="s">
        <v>11</v>
      </c>
      <c r="D2" s="1">
        <v>0</v>
      </c>
      <c r="E2" s="1">
        <v>1</v>
      </c>
      <c r="F2" s="1" t="s">
        <v>11</v>
      </c>
      <c r="G2" s="1">
        <v>5849</v>
      </c>
      <c r="H2" s="1">
        <v>0</v>
      </c>
      <c r="I2" s="1"/>
    </row>
    <row r="3" spans="1:12" x14ac:dyDescent="0.3">
      <c r="A3" s="1" t="s">
        <v>13</v>
      </c>
      <c r="B3" s="1" t="s">
        <v>10</v>
      </c>
      <c r="C3" s="1" t="s">
        <v>14</v>
      </c>
      <c r="D3" s="1">
        <v>1</v>
      </c>
      <c r="E3" s="1">
        <v>1</v>
      </c>
      <c r="F3" s="1" t="s">
        <v>11</v>
      </c>
      <c r="G3" s="1">
        <v>4583</v>
      </c>
      <c r="H3" s="1">
        <v>1508</v>
      </c>
      <c r="I3" s="1">
        <v>128</v>
      </c>
    </row>
    <row r="4" spans="1:12" x14ac:dyDescent="0.3">
      <c r="A4" s="1" t="s">
        <v>15</v>
      </c>
      <c r="B4" s="1" t="s">
        <v>10</v>
      </c>
      <c r="C4" s="1" t="s">
        <v>14</v>
      </c>
      <c r="D4" s="1">
        <v>0</v>
      </c>
      <c r="E4" s="1">
        <v>1</v>
      </c>
      <c r="F4" s="1" t="s">
        <v>14</v>
      </c>
      <c r="G4" s="1">
        <v>3000</v>
      </c>
      <c r="H4" s="1">
        <v>0</v>
      </c>
      <c r="I4" s="1">
        <v>66</v>
      </c>
      <c r="L4" t="s">
        <v>45</v>
      </c>
    </row>
    <row r="5" spans="1:12" x14ac:dyDescent="0.3">
      <c r="A5" s="1" t="s">
        <v>16</v>
      </c>
      <c r="B5" s="1" t="s">
        <v>10</v>
      </c>
      <c r="C5" s="1" t="s">
        <v>14</v>
      </c>
      <c r="D5" s="1">
        <v>0</v>
      </c>
      <c r="E5" s="1">
        <v>2</v>
      </c>
      <c r="F5" s="1" t="s">
        <v>11</v>
      </c>
      <c r="G5" s="1">
        <v>2583</v>
      </c>
      <c r="H5" s="1">
        <v>2358</v>
      </c>
      <c r="I5" s="1">
        <v>120</v>
      </c>
      <c r="L5" t="s">
        <v>46</v>
      </c>
    </row>
    <row r="6" spans="1:12" x14ac:dyDescent="0.3">
      <c r="A6" s="1" t="s">
        <v>18</v>
      </c>
      <c r="B6" s="1" t="s">
        <v>10</v>
      </c>
      <c r="C6" s="1" t="s">
        <v>11</v>
      </c>
      <c r="D6" s="1">
        <v>0</v>
      </c>
      <c r="E6" s="1">
        <v>1</v>
      </c>
      <c r="F6" s="1" t="s">
        <v>11</v>
      </c>
      <c r="G6" s="1">
        <v>6000</v>
      </c>
      <c r="H6" s="1">
        <v>0</v>
      </c>
      <c r="I6" s="1">
        <v>141</v>
      </c>
    </row>
    <row r="7" spans="1:12" x14ac:dyDescent="0.3">
      <c r="A7" s="1" t="s">
        <v>19</v>
      </c>
      <c r="B7" s="1" t="s">
        <v>10</v>
      </c>
      <c r="C7" s="1" t="s">
        <v>14</v>
      </c>
      <c r="D7" s="1">
        <v>2</v>
      </c>
      <c r="E7" s="1">
        <v>1</v>
      </c>
      <c r="F7" s="1" t="s">
        <v>14</v>
      </c>
      <c r="G7" s="1">
        <v>5417</v>
      </c>
      <c r="H7" s="1">
        <v>4196</v>
      </c>
      <c r="I7" s="1">
        <v>267</v>
      </c>
    </row>
    <row r="8" spans="1:12" x14ac:dyDescent="0.3">
      <c r="A8" s="1" t="s">
        <v>20</v>
      </c>
      <c r="B8" s="1" t="s">
        <v>10</v>
      </c>
      <c r="C8" s="1" t="s">
        <v>14</v>
      </c>
      <c r="D8" s="1">
        <v>0</v>
      </c>
      <c r="E8" s="1">
        <v>2</v>
      </c>
      <c r="F8" s="1" t="s">
        <v>11</v>
      </c>
      <c r="G8" s="1">
        <v>2333</v>
      </c>
      <c r="H8" s="1">
        <v>1516</v>
      </c>
      <c r="I8" s="1">
        <v>95</v>
      </c>
    </row>
    <row r="9" spans="1:12" x14ac:dyDescent="0.3">
      <c r="A9" s="1" t="s">
        <v>21</v>
      </c>
      <c r="B9" s="1" t="s">
        <v>10</v>
      </c>
      <c r="C9" s="1" t="s">
        <v>14</v>
      </c>
      <c r="D9" s="1" t="s">
        <v>22</v>
      </c>
      <c r="E9" s="1">
        <v>1</v>
      </c>
      <c r="F9" s="1" t="s">
        <v>11</v>
      </c>
      <c r="G9" s="1">
        <v>3036</v>
      </c>
      <c r="H9" s="1">
        <v>2504</v>
      </c>
      <c r="I9" s="1">
        <v>158</v>
      </c>
    </row>
    <row r="10" spans="1:12" x14ac:dyDescent="0.3">
      <c r="A10" s="1" t="s">
        <v>23</v>
      </c>
      <c r="B10" s="1" t="s">
        <v>10</v>
      </c>
      <c r="C10" s="1" t="s">
        <v>14</v>
      </c>
      <c r="D10" s="1">
        <v>2</v>
      </c>
      <c r="E10" s="1">
        <v>1</v>
      </c>
      <c r="F10" s="1" t="s">
        <v>11</v>
      </c>
      <c r="G10" s="1">
        <v>4006</v>
      </c>
      <c r="H10" s="1">
        <v>1526</v>
      </c>
      <c r="I10" s="1">
        <v>168</v>
      </c>
    </row>
    <row r="11" spans="1:12" x14ac:dyDescent="0.3">
      <c r="A11" s="1" t="s">
        <v>24</v>
      </c>
      <c r="B11" s="1" t="s">
        <v>10</v>
      </c>
      <c r="C11" s="1" t="s">
        <v>14</v>
      </c>
      <c r="D11" s="1">
        <v>1</v>
      </c>
      <c r="E11" s="1">
        <v>1</v>
      </c>
      <c r="F11" s="1" t="s">
        <v>11</v>
      </c>
      <c r="G11" s="1">
        <v>12841</v>
      </c>
      <c r="H11" s="1">
        <v>10968</v>
      </c>
      <c r="I11" s="1">
        <v>349</v>
      </c>
    </row>
    <row r="12" spans="1:12" x14ac:dyDescent="0.3">
      <c r="A12" s="1" t="s">
        <v>25</v>
      </c>
      <c r="B12" s="1" t="s">
        <v>10</v>
      </c>
      <c r="C12" s="1" t="s">
        <v>14</v>
      </c>
      <c r="D12" s="1">
        <v>2</v>
      </c>
      <c r="E12" s="1">
        <v>1</v>
      </c>
      <c r="F12" s="1" t="s">
        <v>11</v>
      </c>
      <c r="G12" s="1">
        <v>3200</v>
      </c>
      <c r="H12" s="1">
        <v>700</v>
      </c>
      <c r="I12" s="1">
        <v>70</v>
      </c>
    </row>
    <row r="13" spans="1:12" x14ac:dyDescent="0.3">
      <c r="A13" s="1" t="s">
        <v>26</v>
      </c>
      <c r="B13" s="1" t="s">
        <v>10</v>
      </c>
      <c r="C13" s="1" t="s">
        <v>14</v>
      </c>
      <c r="D13" s="1">
        <v>2</v>
      </c>
      <c r="E13" s="1">
        <v>1</v>
      </c>
      <c r="F13" s="1"/>
      <c r="G13" s="1">
        <v>2500</v>
      </c>
      <c r="H13" s="1">
        <v>1840</v>
      </c>
      <c r="I13" s="1">
        <v>109</v>
      </c>
    </row>
    <row r="14" spans="1:12" x14ac:dyDescent="0.3">
      <c r="A14" s="1" t="s">
        <v>27</v>
      </c>
      <c r="B14" s="1" t="s">
        <v>10</v>
      </c>
      <c r="C14" s="1" t="s">
        <v>14</v>
      </c>
      <c r="D14" s="1">
        <v>2</v>
      </c>
      <c r="E14" s="1">
        <v>1</v>
      </c>
      <c r="F14" s="1" t="s">
        <v>11</v>
      </c>
      <c r="G14" s="1">
        <v>3073</v>
      </c>
      <c r="H14" s="1">
        <v>8106</v>
      </c>
      <c r="I14" s="1">
        <v>200</v>
      </c>
    </row>
    <row r="15" spans="1:12" x14ac:dyDescent="0.3">
      <c r="A15" s="1" t="s">
        <v>28</v>
      </c>
      <c r="B15" s="1" t="s">
        <v>10</v>
      </c>
      <c r="C15" s="1" t="s">
        <v>11</v>
      </c>
      <c r="D15" s="1">
        <v>0</v>
      </c>
      <c r="E15" s="1">
        <v>1</v>
      </c>
      <c r="F15" s="1" t="s">
        <v>11</v>
      </c>
      <c r="G15" s="1">
        <v>1853</v>
      </c>
      <c r="H15" s="1">
        <v>2840</v>
      </c>
      <c r="I15" s="1">
        <v>114</v>
      </c>
    </row>
    <row r="16" spans="1:12" x14ac:dyDescent="0.3">
      <c r="A16" s="1" t="s">
        <v>29</v>
      </c>
      <c r="B16" s="1" t="s">
        <v>10</v>
      </c>
      <c r="C16" s="1" t="s">
        <v>14</v>
      </c>
      <c r="D16" s="1">
        <v>2</v>
      </c>
      <c r="E16" s="1">
        <v>1</v>
      </c>
      <c r="F16" s="1" t="s">
        <v>11</v>
      </c>
      <c r="G16" s="1">
        <v>1299</v>
      </c>
      <c r="H16" s="1">
        <v>1086</v>
      </c>
      <c r="I16" s="1">
        <v>17</v>
      </c>
    </row>
    <row r="17" spans="1:9" x14ac:dyDescent="0.3">
      <c r="A17" s="1" t="s">
        <v>30</v>
      </c>
      <c r="B17" s="1" t="s">
        <v>10</v>
      </c>
      <c r="C17" s="1" t="s">
        <v>11</v>
      </c>
      <c r="D17" s="1">
        <v>0</v>
      </c>
      <c r="E17" s="1">
        <v>1</v>
      </c>
      <c r="F17" s="1" t="s">
        <v>11</v>
      </c>
      <c r="G17" s="1">
        <v>4950</v>
      </c>
      <c r="H17" s="1">
        <v>0</v>
      </c>
      <c r="I17" s="1">
        <v>125</v>
      </c>
    </row>
    <row r="18" spans="1:9" x14ac:dyDescent="0.3">
      <c r="A18" s="1" t="s">
        <v>31</v>
      </c>
      <c r="B18" s="1" t="s">
        <v>10</v>
      </c>
      <c r="C18" s="1" t="s">
        <v>11</v>
      </c>
      <c r="D18" s="1">
        <v>1</v>
      </c>
      <c r="E18" s="1">
        <v>2</v>
      </c>
      <c r="F18" s="1" t="s">
        <v>11</v>
      </c>
      <c r="G18" s="1">
        <v>3596</v>
      </c>
      <c r="H18" s="1">
        <v>0</v>
      </c>
      <c r="I18" s="1">
        <v>100</v>
      </c>
    </row>
    <row r="19" spans="1:9" x14ac:dyDescent="0.3">
      <c r="A19" s="1" t="s">
        <v>32</v>
      </c>
      <c r="B19" s="1" t="s">
        <v>33</v>
      </c>
      <c r="C19" s="1" t="s">
        <v>11</v>
      </c>
      <c r="D19" s="1">
        <v>0</v>
      </c>
      <c r="E19" s="1">
        <v>1</v>
      </c>
      <c r="F19" s="1" t="s">
        <v>11</v>
      </c>
      <c r="G19" s="1">
        <v>3510</v>
      </c>
      <c r="H19" s="1">
        <v>0</v>
      </c>
      <c r="I19" s="1">
        <v>76</v>
      </c>
    </row>
    <row r="20" spans="1:9" x14ac:dyDescent="0.3">
      <c r="A20" s="1" t="s">
        <v>34</v>
      </c>
      <c r="B20" s="1" t="s">
        <v>10</v>
      </c>
      <c r="C20" s="1" t="s">
        <v>14</v>
      </c>
      <c r="D20" s="1">
        <v>0</v>
      </c>
      <c r="E20" s="1">
        <v>2</v>
      </c>
      <c r="F20" s="1" t="s">
        <v>11</v>
      </c>
      <c r="G20" s="1">
        <v>4887</v>
      </c>
      <c r="H20" s="1">
        <v>0</v>
      </c>
      <c r="I20" s="1">
        <v>133</v>
      </c>
    </row>
    <row r="21" spans="1:9" x14ac:dyDescent="0.3">
      <c r="A21" s="1" t="s">
        <v>35</v>
      </c>
      <c r="B21" s="1" t="s">
        <v>10</v>
      </c>
      <c r="C21" s="1" t="s">
        <v>14</v>
      </c>
      <c r="D21" s="1">
        <v>0</v>
      </c>
      <c r="E21" s="1">
        <v>1</v>
      </c>
      <c r="F21" s="1"/>
      <c r="G21" s="1">
        <v>2600</v>
      </c>
      <c r="H21" s="1">
        <v>3500</v>
      </c>
      <c r="I21" s="1">
        <v>115</v>
      </c>
    </row>
    <row r="22" spans="1:9" x14ac:dyDescent="0.3">
      <c r="A22" s="1" t="s">
        <v>36</v>
      </c>
      <c r="B22" s="1" t="s">
        <v>10</v>
      </c>
      <c r="C22" s="1" t="s">
        <v>14</v>
      </c>
      <c r="D22" s="1">
        <v>0</v>
      </c>
      <c r="E22" s="1">
        <v>2</v>
      </c>
      <c r="F22" s="1" t="s">
        <v>11</v>
      </c>
      <c r="G22" s="1">
        <v>7660</v>
      </c>
      <c r="H22" s="1">
        <v>0</v>
      </c>
      <c r="I22" s="1">
        <v>104</v>
      </c>
    </row>
    <row r="23" spans="1:9" x14ac:dyDescent="0.3">
      <c r="A23" s="1" t="s">
        <v>37</v>
      </c>
      <c r="B23" s="1" t="s">
        <v>10</v>
      </c>
      <c r="C23" s="1" t="s">
        <v>14</v>
      </c>
      <c r="D23" s="1">
        <v>1</v>
      </c>
      <c r="E23" s="1">
        <v>1</v>
      </c>
      <c r="F23" s="1" t="s">
        <v>11</v>
      </c>
      <c r="G23" s="1">
        <v>5955</v>
      </c>
      <c r="H23" s="1">
        <v>5625</v>
      </c>
      <c r="I23" s="1">
        <v>315</v>
      </c>
    </row>
    <row r="24" spans="1:9" x14ac:dyDescent="0.3">
      <c r="A24" s="1" t="s">
        <v>38</v>
      </c>
      <c r="B24" s="1" t="s">
        <v>10</v>
      </c>
      <c r="C24" s="1" t="s">
        <v>14</v>
      </c>
      <c r="D24" s="1">
        <v>0</v>
      </c>
      <c r="E24" s="1">
        <v>2</v>
      </c>
      <c r="F24" s="1" t="s">
        <v>11</v>
      </c>
      <c r="G24" s="1">
        <v>2600</v>
      </c>
      <c r="H24" s="1">
        <v>1911</v>
      </c>
      <c r="I24" s="1">
        <v>116</v>
      </c>
    </row>
    <row r="25" spans="1:9" x14ac:dyDescent="0.3">
      <c r="A25" s="1" t="s">
        <v>39</v>
      </c>
      <c r="B25" s="1"/>
      <c r="C25" s="1" t="s">
        <v>14</v>
      </c>
      <c r="D25" s="1">
        <v>2</v>
      </c>
      <c r="E25" s="1">
        <v>2</v>
      </c>
      <c r="F25" s="1" t="s">
        <v>11</v>
      </c>
      <c r="G25" s="1">
        <v>3365</v>
      </c>
      <c r="H25" s="1">
        <v>1917</v>
      </c>
      <c r="I25" s="1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ANGELIN_(loan)(1)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 John</dc:creator>
  <cp:lastModifiedBy>Angelin John</cp:lastModifiedBy>
  <dcterms:created xsi:type="dcterms:W3CDTF">2023-03-09T12:26:38Z</dcterms:created>
  <dcterms:modified xsi:type="dcterms:W3CDTF">2023-03-09T12:26:38Z</dcterms:modified>
</cp:coreProperties>
</file>