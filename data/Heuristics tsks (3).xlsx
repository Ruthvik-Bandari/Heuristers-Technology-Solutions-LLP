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n John\Downloads\"/>
    </mc:Choice>
  </mc:AlternateContent>
  <xr:revisionPtr revIDLastSave="0" documentId="8_{88289486-5358-4800-AAEE-03AD614F0738}" xr6:coauthVersionLast="47" xr6:coauthVersionMax="47" xr10:uidLastSave="{00000000-0000-0000-0000-000000000000}"/>
  <bookViews>
    <workbookView xWindow="-108" yWindow="-108" windowWidth="23256" windowHeight="12456" activeTab="1"/>
  </bookViews>
  <sheets>
    <sheet name="Angelin (hr_data)(1)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chart.v1.0" hidden="1">Sheet2!$J$7:$J$10</definedName>
    <definedName name="_xlchart.v1.1" hidden="1">Sheet2!$K$6</definedName>
    <definedName name="_xlchart.v1.2" hidden="1">Sheet2!$K$7:$K$10</definedName>
    <definedName name="_xlchart.v1.3" hidden="1">Sheet2!$L$6</definedName>
    <definedName name="_xlchart.v1.4" hidden="1">Sheet2!$L$7:$L$10</definedName>
    <definedName name="_xlchart.v1.5" hidden="1">Sheet2!$J$7:$J$10</definedName>
    <definedName name="_xlchart.v1.6" hidden="1">Sheet2!$K$6</definedName>
    <definedName name="_xlchart.v1.7" hidden="1">Sheet2!$K$7:$K$10</definedName>
    <definedName name="_xlchart.v1.8" hidden="1">Sheet2!$L$6</definedName>
    <definedName name="_xlchart.v1.9" hidden="1">Sheet2!$L$7:$L$10</definedName>
  </definedNames>
  <calcPr calcId="0"/>
</workbook>
</file>

<file path=xl/calcChain.xml><?xml version="1.0" encoding="utf-8"?>
<calcChain xmlns="http://schemas.openxmlformats.org/spreadsheetml/2006/main">
  <c r="H29" i="2" l="1"/>
  <c r="H28" i="2"/>
  <c r="H27" i="2"/>
  <c r="H26" i="2"/>
  <c r="G29" i="2"/>
  <c r="G28" i="2"/>
  <c r="G27" i="2"/>
  <c r="G26" i="2"/>
</calcChain>
</file>

<file path=xl/sharedStrings.xml><?xml version="1.0" encoding="utf-8"?>
<sst xmlns="http://schemas.openxmlformats.org/spreadsheetml/2006/main" count="268" uniqueCount="20">
  <si>
    <t>SLNO</t>
  </si>
  <si>
    <t>Candidate Ref</t>
  </si>
  <si>
    <t>DOJ Extended</t>
  </si>
  <si>
    <t>Duration to accept offer</t>
  </si>
  <si>
    <t>Notice period</t>
  </si>
  <si>
    <t>Offered band</t>
  </si>
  <si>
    <t>Pecent hike expected in CTC</t>
  </si>
  <si>
    <t>Percent hike offered in CTC</t>
  </si>
  <si>
    <t>Yes</t>
  </si>
  <si>
    <t>E2</t>
  </si>
  <si>
    <t>No</t>
  </si>
  <si>
    <t>E1</t>
  </si>
  <si>
    <t>E3</t>
  </si>
  <si>
    <t>SUM</t>
  </si>
  <si>
    <t>AVERAGE</t>
  </si>
  <si>
    <t>MODE</t>
  </si>
  <si>
    <t>MEDIAN</t>
  </si>
  <si>
    <t>HERE I HAVE SORTED THE COLOUMN "DURATION TO ACCEPT OFFER</t>
  </si>
  <si>
    <t>YES=1</t>
  </si>
  <si>
    <t>NO=2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</si>
</sst>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0" fillId="0" borderId="11" xfId="0" applyFill="1" applyBorder="1"/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BARCHART</a:t>
            </a:r>
            <a:r>
              <a:rPr lang="en-IN" baseline="0"/>
              <a:t> FOR HR_DATA DATASET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Sheet2!$K$6</c:f>
              <c:strCache>
                <c:ptCount val="1"/>
                <c:pt idx="0">
                  <c:v>Pecent hike expected in CTC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Sheet2!$J$7:$J$10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cat>
          <c:val>
            <c:numRef>
              <c:f>Sheet2!$K$7:$K$10</c:f>
              <c:numCache>
                <c:formatCode>General</c:formatCode>
                <c:ptCount val="4"/>
                <c:pt idx="0">
                  <c:v>1021.2800000000001</c:v>
                </c:pt>
                <c:pt idx="1">
                  <c:v>42.553333333333335</c:v>
                </c:pt>
                <c:pt idx="2">
                  <c:v>50</c:v>
                </c:pt>
                <c:pt idx="3">
                  <c:v>42.685000000000002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C35-8425-A7D1F0E26ED4}"/>
            </c:ext>
          </c:extLst>
        </c:ser>
        <c:ser>
          <c:idx val="1"/>
          <c:order val="1"/>
          <c:tx>
            <c:strRef>
              <c:f>Sheet2!$L$6</c:f>
              <c:strCache>
                <c:ptCount val="1"/>
                <c:pt idx="0">
                  <c:v>Percent hike offered in CTC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Sheet2!$J$7:$J$10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cat>
          <c:val>
            <c:numRef>
              <c:f>Sheet2!$L$7:$L$10</c:f>
              <c:numCache>
                <c:formatCode>General</c:formatCode>
                <c:ptCount val="4"/>
                <c:pt idx="0">
                  <c:v>1611.11</c:v>
                </c:pt>
                <c:pt idx="1">
                  <c:v>67.129583333333329</c:v>
                </c:pt>
                <c:pt idx="2">
                  <c:v>42.84</c:v>
                </c:pt>
                <c:pt idx="3">
                  <c:v>42.805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8-4C35-8425-A7D1F0E26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5160432"/>
        <c:axId val="908479936"/>
      </c:barChart>
      <c:catAx>
        <c:axId val="90516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79936"/>
        <c:crosses val="autoZero"/>
        <c:auto val="1"/>
        <c:lblAlgn val="ctr"/>
        <c:lblOffset val="100"/>
        <c:noMultiLvlLbl val="0"/>
      </c:catAx>
      <c:valAx>
        <c:axId val="908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6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AREA</a:t>
            </a:r>
            <a:r>
              <a:rPr lang="en-IN" baseline="0"/>
              <a:t> CHART FOR HAR DATA DATASET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Sheet2!$K$6</c:f>
              <c:strCache>
                <c:ptCount val="1"/>
                <c:pt idx="0">
                  <c:v>Pecent hike expected in CTC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Sheet2!$J$7:$J$10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cat>
          <c:val>
            <c:numRef>
              <c:f>Sheet2!$K$7:$K$10</c:f>
              <c:numCache>
                <c:formatCode>General</c:formatCode>
                <c:ptCount val="4"/>
                <c:pt idx="0">
                  <c:v>1021.2800000000001</c:v>
                </c:pt>
                <c:pt idx="1">
                  <c:v>42.553333333333335</c:v>
                </c:pt>
                <c:pt idx="2">
                  <c:v>50</c:v>
                </c:pt>
                <c:pt idx="3">
                  <c:v>42.685000000000002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2-4A9E-8B8C-BA2FA32E9260}"/>
            </c:ext>
          </c:extLst>
        </c:ser>
        <c:ser>
          <c:idx val="1"/>
          <c:order val="1"/>
          <c:tx>
            <c:strRef>
              <c:f>Sheet2!$L$6</c:f>
              <c:strCache>
                <c:ptCount val="1"/>
                <c:pt idx="0">
                  <c:v>Percent hike offered in CTC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Sheet2!$J$7:$J$10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cat>
          <c:val>
            <c:numRef>
              <c:f>Sheet2!$L$7:$L$10</c:f>
              <c:numCache>
                <c:formatCode>General</c:formatCode>
                <c:ptCount val="4"/>
                <c:pt idx="0">
                  <c:v>1611.11</c:v>
                </c:pt>
                <c:pt idx="1">
                  <c:v>67.129583333333329</c:v>
                </c:pt>
                <c:pt idx="2">
                  <c:v>42.84</c:v>
                </c:pt>
                <c:pt idx="3">
                  <c:v>42.805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82-4A9E-8B8C-BA2FA32E9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443248"/>
        <c:axId val="910284000"/>
      </c:lineChart>
      <c:catAx>
        <c:axId val="87444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284000"/>
        <c:crosses val="autoZero"/>
        <c:auto val="1"/>
        <c:lblAlgn val="ctr"/>
        <c:lblOffset val="100"/>
        <c:noMultiLvlLbl val="0"/>
      </c:catAx>
      <c:valAx>
        <c:axId val="91028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4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 FOR HR DATA DATASET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Sheet2!$K$6</c:f>
              <c:strCache>
                <c:ptCount val="1"/>
                <c:pt idx="0">
                  <c:v>Pecent hike expected in CTC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Sheet2!$J$7:$J$10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cat>
          <c:val>
            <c:numRef>
              <c:f>Sheet2!$K$7:$K$10</c:f>
              <c:numCache>
                <c:formatCode>General</c:formatCode>
                <c:ptCount val="4"/>
                <c:pt idx="0">
                  <c:v>1021.2800000000001</c:v>
                </c:pt>
                <c:pt idx="1">
                  <c:v>42.553333333333335</c:v>
                </c:pt>
                <c:pt idx="2">
                  <c:v>50</c:v>
                </c:pt>
                <c:pt idx="3">
                  <c:v>42.685000000000002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3-4FD9-B0FB-FCA4EE9C5039}"/>
            </c:ext>
          </c:extLst>
        </c:ser>
        <c:ser>
          <c:idx val="1"/>
          <c:order val="1"/>
          <c:tx>
            <c:strRef>
              <c:f>Sheet2!$L$6</c:f>
              <c:strCache>
                <c:ptCount val="1"/>
                <c:pt idx="0">
                  <c:v>Percent hike offered in CTC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Sheet2!$J$7:$J$10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cat>
          <c:val>
            <c:numRef>
              <c:f>Sheet2!$L$7:$L$10</c:f>
              <c:numCache>
                <c:formatCode>General</c:formatCode>
                <c:ptCount val="4"/>
                <c:pt idx="0">
                  <c:v>1611.11</c:v>
                </c:pt>
                <c:pt idx="1">
                  <c:v>67.129583333333329</c:v>
                </c:pt>
                <c:pt idx="2">
                  <c:v>42.84</c:v>
                </c:pt>
                <c:pt idx="3">
                  <c:v>42.805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63-4FD9-B0FB-FCA4EE9C5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PLOT FOR HR DATA DATASET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Sheet2!$K$6</c:f>
              <c:strCache>
                <c:ptCount val="1"/>
                <c:pt idx="0">
                  <c:v>Pecent hike expected in CTC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Sheet2!$J$7:$J$10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xVal>
          <c:yVal>
            <c:numRef>
              <c:f>Sheet2!$K$7:$K$10</c:f>
              <c:numCache>
                <c:formatCode>General</c:formatCode>
                <c:ptCount val="4"/>
                <c:pt idx="0">
                  <c:v>1021.2800000000001</c:v>
                </c:pt>
                <c:pt idx="1">
                  <c:v>42.553333333333335</c:v>
                </c:pt>
                <c:pt idx="2">
                  <c:v>50</c:v>
                </c:pt>
                <c:pt idx="3">
                  <c:v>42.685000000000002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C-4F0C-ACE8-F3D28A031CC7}"/>
            </c:ext>
          </c:extLst>
        </c:ser>
        <c:ser>
          <c:idx val="1"/>
          <c:order val="1"/>
          <c:tx>
            <c:strRef>
              <c:f>Sheet2!$L$6</c:f>
              <c:strCache>
                <c:ptCount val="1"/>
                <c:pt idx="0">
                  <c:v>Percent hike offered in CTC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Sheet2!$J$7:$J$10</c:f>
              <c:strCache>
                <c:ptCount val="4"/>
                <c:pt idx="0">
                  <c:v>SUM</c:v>
                </c:pt>
                <c:pt idx="1">
                  <c:v>AVERAGE</c:v>
                </c:pt>
                <c:pt idx="2">
                  <c:v>MODE</c:v>
                </c:pt>
                <c:pt idx="3">
                  <c:v>MEDIAN</c:v>
                </c:pt>
              </c:strCache>
            </c:strRef>
          </c:xVal>
          <c:yVal>
            <c:numRef>
              <c:f>Sheet2!$L$7:$L$10</c:f>
              <c:numCache>
                <c:formatCode>General</c:formatCode>
                <c:ptCount val="4"/>
                <c:pt idx="0">
                  <c:v>1611.11</c:v>
                </c:pt>
                <c:pt idx="1">
                  <c:v>67.129583333333329</c:v>
                </c:pt>
                <c:pt idx="2">
                  <c:v>42.84</c:v>
                </c:pt>
                <c:pt idx="3">
                  <c:v>42.805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EC-4F0C-ACE8-F3D28A031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608512"/>
        <c:axId val="904494448"/>
      </c:scatterChart>
      <c:valAx>
        <c:axId val="90560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94448"/>
        <c:crosses val="autoZero"/>
        <c:crossBetween val="midCat"/>
      </c:valAx>
      <c:valAx>
        <c:axId val="9044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608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HISTOGRAM FOR HR DATA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HISTOGRAM FOR HR DATA DATASET</a:t>
          </a:r>
        </a:p>
      </cx:txPr>
    </cx:title>
    <cx:plotArea>
      <cx:plotAreaRegion>
        <cx:series layoutId="clusteredColumn" uniqueId="{42270495-F64D-4707-A6AA-F86A92480855}" formatIdx="0">
          <cx:tx>
            <cx:txData>
              <cx:f>_xlchart.v1.6</cx:f>
              <cx:v>Pecent hike expected in CTC</cx:v>
            </cx:txData>
          </cx:tx>
          <cx:dataId val="0"/>
          <cx:layoutPr>
            <cx:binning intervalClosed="r"/>
          </cx:layoutPr>
        </cx:series>
        <cx:series layoutId="clusteredColumn" hidden="1" uniqueId="{A4764EE7-CDDC-42BC-80A4-C55DF5E01AC8}" formatIdx="1">
          <cx:tx>
            <cx:txData>
              <cx:f>_xlchart.v1.8</cx:f>
              <cx:v>Percent hike offered in CTC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10</xdr:row>
      <xdr:rowOff>22860</xdr:rowOff>
    </xdr:from>
    <xdr:to>
      <xdr:col>12</xdr:col>
      <xdr:colOff>99060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F5123-D785-8F02-8DB0-C0AD81C52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25</xdr:row>
      <xdr:rowOff>38100</xdr:rowOff>
    </xdr:from>
    <xdr:to>
      <xdr:col>5</xdr:col>
      <xdr:colOff>68580</xdr:colOff>
      <xdr:row>42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2B538F-75E6-F0E3-2BA2-274BF9465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144780</xdr:colOff>
      <xdr:row>25</xdr:row>
      <xdr:rowOff>38100</xdr:rowOff>
    </xdr:from>
    <xdr:to>
      <xdr:col>8</xdr:col>
      <xdr:colOff>533400</xdr:colOff>
      <xdr:row>40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1FAA59-1521-4A33-BA20-108619D3E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586740</xdr:colOff>
      <xdr:row>25</xdr:row>
      <xdr:rowOff>38100</xdr:rowOff>
    </xdr:from>
    <xdr:to>
      <xdr:col>13</xdr:col>
      <xdr:colOff>30480</xdr:colOff>
      <xdr:row>40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C79D8DA-E2EF-836F-0D65-CAFAF838E3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80220" y="4610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76200</xdr:colOff>
      <xdr:row>40</xdr:row>
      <xdr:rowOff>68580</xdr:rowOff>
    </xdr:from>
    <xdr:to>
      <xdr:col>8</xdr:col>
      <xdr:colOff>464820</xdr:colOff>
      <xdr:row>55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1BC87F-BC81-1BA9-0715-E6CFE56AB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sqref="A1:H25"/>
    </sheetView>
  </sheetViews>
  <sheetFormatPr defaultRowHeight="14.4" x14ac:dyDescent="0.3"/>
  <cols>
    <col min="2" max="2" width="14.21875" customWidth="1"/>
    <col min="4" max="4" width="20.77734375" customWidth="1"/>
    <col min="5" max="5" width="12.44140625" customWidth="1"/>
    <col min="6" max="6" width="12" customWidth="1"/>
    <col min="7" max="7" width="24.6640625" customWidth="1"/>
    <col min="8" max="8" width="23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</v>
      </c>
      <c r="B2" s="1">
        <v>2110407</v>
      </c>
      <c r="C2" s="1" t="s">
        <v>8</v>
      </c>
      <c r="D2" s="1">
        <v>14</v>
      </c>
      <c r="E2" s="1">
        <v>30</v>
      </c>
      <c r="F2" s="1" t="s">
        <v>9</v>
      </c>
      <c r="G2" s="1">
        <v>-20.79</v>
      </c>
      <c r="H2" s="1">
        <v>13.16</v>
      </c>
    </row>
    <row r="3" spans="1:8" x14ac:dyDescent="0.3">
      <c r="A3" s="1">
        <v>2</v>
      </c>
      <c r="B3" s="1">
        <v>2112635</v>
      </c>
      <c r="C3" s="1" t="s">
        <v>10</v>
      </c>
      <c r="D3" s="1">
        <v>18</v>
      </c>
      <c r="E3" s="1">
        <v>30</v>
      </c>
      <c r="F3" s="1" t="s">
        <v>9</v>
      </c>
      <c r="G3" s="1">
        <v>50</v>
      </c>
      <c r="H3" s="1">
        <v>320</v>
      </c>
    </row>
    <row r="4" spans="1:8" x14ac:dyDescent="0.3">
      <c r="A4" s="1">
        <v>3</v>
      </c>
      <c r="B4" s="1">
        <v>2112838</v>
      </c>
      <c r="C4" s="1" t="s">
        <v>10</v>
      </c>
      <c r="D4" s="1">
        <v>3</v>
      </c>
      <c r="E4" s="1">
        <v>45</v>
      </c>
      <c r="F4" s="1" t="s">
        <v>9</v>
      </c>
      <c r="G4" s="1">
        <v>42.84</v>
      </c>
      <c r="H4" s="1">
        <v>42.84</v>
      </c>
    </row>
    <row r="5" spans="1:8" x14ac:dyDescent="0.3">
      <c r="A5" s="1">
        <v>4</v>
      </c>
      <c r="B5" s="1">
        <v>2115021</v>
      </c>
      <c r="C5" s="1" t="s">
        <v>10</v>
      </c>
      <c r="D5" s="1">
        <v>26</v>
      </c>
      <c r="E5" s="1">
        <v>30</v>
      </c>
      <c r="F5" s="1" t="s">
        <v>9</v>
      </c>
      <c r="G5" s="1">
        <v>42.84</v>
      </c>
      <c r="H5" s="1">
        <v>42.84</v>
      </c>
    </row>
    <row r="6" spans="1:8" x14ac:dyDescent="0.3">
      <c r="A6" s="1">
        <v>5</v>
      </c>
      <c r="B6" s="1">
        <v>2115125</v>
      </c>
      <c r="C6" s="1" t="s">
        <v>8</v>
      </c>
      <c r="D6" s="1">
        <v>1</v>
      </c>
      <c r="E6" s="1">
        <v>120</v>
      </c>
      <c r="F6" s="1" t="s">
        <v>9</v>
      </c>
      <c r="G6" s="1">
        <v>42.59</v>
      </c>
      <c r="H6" s="1">
        <v>42.59</v>
      </c>
    </row>
    <row r="7" spans="1:8" x14ac:dyDescent="0.3">
      <c r="A7" s="1">
        <v>6</v>
      </c>
      <c r="B7" s="1">
        <v>2117167</v>
      </c>
      <c r="C7" s="1" t="s">
        <v>8</v>
      </c>
      <c r="D7" s="1">
        <v>17</v>
      </c>
      <c r="E7" s="1">
        <v>30</v>
      </c>
      <c r="F7" s="1" t="s">
        <v>11</v>
      </c>
      <c r="G7" s="1">
        <v>42.83</v>
      </c>
      <c r="H7" s="1">
        <v>42.83</v>
      </c>
    </row>
    <row r="8" spans="1:8" x14ac:dyDescent="0.3">
      <c r="A8" s="1">
        <v>7</v>
      </c>
      <c r="B8" s="1">
        <v>2119124</v>
      </c>
      <c r="C8" s="1" t="s">
        <v>8</v>
      </c>
      <c r="D8" s="1">
        <v>37</v>
      </c>
      <c r="E8" s="1">
        <v>30</v>
      </c>
      <c r="F8" s="1" t="s">
        <v>9</v>
      </c>
      <c r="G8" s="1">
        <v>31.58</v>
      </c>
      <c r="H8" s="1">
        <v>31.58</v>
      </c>
    </row>
    <row r="9" spans="1:8" x14ac:dyDescent="0.3">
      <c r="A9" s="1">
        <v>9</v>
      </c>
      <c r="B9" s="1">
        <v>2127572</v>
      </c>
      <c r="C9" s="1" t="s">
        <v>8</v>
      </c>
      <c r="D9" s="1">
        <v>16</v>
      </c>
      <c r="E9" s="1">
        <v>0</v>
      </c>
      <c r="F9" s="1" t="s">
        <v>11</v>
      </c>
      <c r="G9" s="1">
        <v>-20</v>
      </c>
      <c r="H9" s="1">
        <v>-20</v>
      </c>
    </row>
    <row r="10" spans="1:8" x14ac:dyDescent="0.3">
      <c r="A10" s="1">
        <v>11</v>
      </c>
      <c r="B10" s="1">
        <v>2138169</v>
      </c>
      <c r="C10" s="1" t="s">
        <v>10</v>
      </c>
      <c r="D10" s="1">
        <v>1</v>
      </c>
      <c r="E10" s="1">
        <v>30</v>
      </c>
      <c r="F10" s="1" t="s">
        <v>11</v>
      </c>
      <c r="G10" s="1">
        <v>-22.22</v>
      </c>
      <c r="H10" s="1">
        <v>-22.22</v>
      </c>
    </row>
    <row r="11" spans="1:8" x14ac:dyDescent="0.3">
      <c r="A11" s="1">
        <v>12</v>
      </c>
      <c r="B11" s="1">
        <v>2143362</v>
      </c>
      <c r="C11" s="1" t="s">
        <v>10</v>
      </c>
      <c r="D11" s="1">
        <v>6</v>
      </c>
      <c r="E11" s="1">
        <v>30</v>
      </c>
      <c r="F11" s="1" t="s">
        <v>11</v>
      </c>
      <c r="G11" s="1">
        <v>240</v>
      </c>
      <c r="H11" s="1">
        <v>220</v>
      </c>
    </row>
    <row r="12" spans="1:8" x14ac:dyDescent="0.3">
      <c r="A12" s="1">
        <v>13</v>
      </c>
      <c r="B12" s="1">
        <v>2151180</v>
      </c>
      <c r="C12" s="1" t="s">
        <v>10</v>
      </c>
      <c r="D12" s="1">
        <v>120</v>
      </c>
      <c r="E12" s="1">
        <v>30</v>
      </c>
      <c r="F12" s="1" t="s">
        <v>9</v>
      </c>
      <c r="G12" s="1">
        <v>5.26</v>
      </c>
      <c r="H12" s="1">
        <v>-60.53</v>
      </c>
    </row>
    <row r="13" spans="1:8" x14ac:dyDescent="0.3">
      <c r="A13" s="1">
        <v>14</v>
      </c>
      <c r="B13" s="1">
        <v>2154264</v>
      </c>
      <c r="C13" s="1" t="s">
        <v>10</v>
      </c>
      <c r="D13" s="1">
        <v>3</v>
      </c>
      <c r="E13" s="1">
        <v>0</v>
      </c>
      <c r="F13" s="1" t="s">
        <v>9</v>
      </c>
      <c r="G13" s="1">
        <v>28.21</v>
      </c>
      <c r="H13" s="1">
        <v>37.18</v>
      </c>
    </row>
    <row r="14" spans="1:8" x14ac:dyDescent="0.3">
      <c r="A14" s="1">
        <v>15</v>
      </c>
      <c r="B14" s="1">
        <v>2156236</v>
      </c>
      <c r="C14" s="1" t="s">
        <v>8</v>
      </c>
      <c r="D14" s="1">
        <v>14</v>
      </c>
      <c r="E14" s="1">
        <v>30</v>
      </c>
      <c r="F14" s="1" t="s">
        <v>9</v>
      </c>
      <c r="G14" s="1">
        <v>50</v>
      </c>
      <c r="H14" s="1">
        <v>287.5</v>
      </c>
    </row>
    <row r="15" spans="1:8" x14ac:dyDescent="0.3">
      <c r="A15" s="1">
        <v>16</v>
      </c>
      <c r="B15" s="1">
        <v>2158703</v>
      </c>
      <c r="C15" s="1" t="s">
        <v>10</v>
      </c>
      <c r="D15" s="1">
        <v>44</v>
      </c>
      <c r="E15" s="1">
        <v>75</v>
      </c>
      <c r="F15" s="1" t="s">
        <v>9</v>
      </c>
      <c r="G15" s="1">
        <v>45.45</v>
      </c>
      <c r="H15" s="1">
        <v>60</v>
      </c>
    </row>
    <row r="16" spans="1:8" x14ac:dyDescent="0.3">
      <c r="A16" s="1">
        <v>17</v>
      </c>
      <c r="B16" s="1">
        <v>2161257</v>
      </c>
      <c r="C16" s="1" t="s">
        <v>10</v>
      </c>
      <c r="D16" s="1">
        <v>7</v>
      </c>
      <c r="E16" s="1">
        <v>30</v>
      </c>
      <c r="F16" s="1" t="s">
        <v>12</v>
      </c>
      <c r="G16" s="1">
        <v>53.85</v>
      </c>
      <c r="H16" s="1">
        <v>50</v>
      </c>
    </row>
    <row r="17" spans="1:8" x14ac:dyDescent="0.3">
      <c r="A17" s="1">
        <v>18</v>
      </c>
      <c r="B17" s="1">
        <v>2162487</v>
      </c>
      <c r="C17" s="1" t="s">
        <v>10</v>
      </c>
      <c r="D17" s="1">
        <v>1</v>
      </c>
      <c r="E17" s="1">
        <v>30</v>
      </c>
      <c r="F17" s="1" t="s">
        <v>12</v>
      </c>
      <c r="G17" s="1">
        <v>-27.31</v>
      </c>
      <c r="H17" s="1">
        <v>-27.31</v>
      </c>
    </row>
    <row r="18" spans="1:8" x14ac:dyDescent="0.3">
      <c r="A18" s="1">
        <v>19</v>
      </c>
      <c r="B18" s="1">
        <v>2166041</v>
      </c>
      <c r="C18" s="1" t="s">
        <v>8</v>
      </c>
      <c r="D18" s="1">
        <v>98</v>
      </c>
      <c r="E18" s="1">
        <v>30</v>
      </c>
      <c r="F18" s="1" t="s">
        <v>9</v>
      </c>
      <c r="G18" s="1">
        <v>50</v>
      </c>
      <c r="H18" s="1">
        <v>165.36</v>
      </c>
    </row>
    <row r="19" spans="1:8" x14ac:dyDescent="0.3">
      <c r="A19" s="1">
        <v>20</v>
      </c>
      <c r="B19" s="1">
        <v>2172982</v>
      </c>
      <c r="C19" s="1" t="s">
        <v>10</v>
      </c>
      <c r="D19" s="1">
        <v>1</v>
      </c>
      <c r="E19" s="1">
        <v>0</v>
      </c>
      <c r="F19" s="1" t="s">
        <v>9</v>
      </c>
      <c r="G19" s="1">
        <v>30</v>
      </c>
      <c r="H19" s="1">
        <v>30</v>
      </c>
    </row>
    <row r="20" spans="1:8" x14ac:dyDescent="0.3">
      <c r="A20" s="1">
        <v>21</v>
      </c>
      <c r="B20" s="1">
        <v>2173730</v>
      </c>
      <c r="C20" s="1" t="s">
        <v>10</v>
      </c>
      <c r="D20" s="1">
        <v>1</v>
      </c>
      <c r="E20" s="1">
        <v>30</v>
      </c>
      <c r="F20" s="1" t="s">
        <v>11</v>
      </c>
      <c r="G20" s="1">
        <v>-13.42</v>
      </c>
      <c r="H20" s="1">
        <v>42.86</v>
      </c>
    </row>
    <row r="21" spans="1:8" x14ac:dyDescent="0.3">
      <c r="A21" s="1">
        <v>22</v>
      </c>
      <c r="B21" s="1">
        <v>2175237</v>
      </c>
      <c r="C21" s="1" t="s">
        <v>10</v>
      </c>
      <c r="D21" s="1">
        <v>7</v>
      </c>
      <c r="E21" s="1">
        <v>30</v>
      </c>
      <c r="F21" s="1" t="s">
        <v>11</v>
      </c>
      <c r="G21" s="1">
        <v>221.43</v>
      </c>
      <c r="H21" s="1">
        <v>164.29</v>
      </c>
    </row>
    <row r="22" spans="1:8" x14ac:dyDescent="0.3">
      <c r="A22" s="1">
        <v>23</v>
      </c>
      <c r="B22" s="1">
        <v>2175323</v>
      </c>
      <c r="C22" s="1" t="s">
        <v>10</v>
      </c>
      <c r="D22" s="1">
        <v>1</v>
      </c>
      <c r="E22" s="1">
        <v>0</v>
      </c>
      <c r="F22" s="1" t="s">
        <v>12</v>
      </c>
      <c r="G22" s="1">
        <v>42.78</v>
      </c>
      <c r="H22" s="1">
        <v>42.78</v>
      </c>
    </row>
    <row r="23" spans="1:8" x14ac:dyDescent="0.3">
      <c r="A23" s="1">
        <v>24</v>
      </c>
      <c r="B23" s="1">
        <v>2184108</v>
      </c>
      <c r="C23" s="1" t="s">
        <v>10</v>
      </c>
      <c r="D23" s="1">
        <v>0</v>
      </c>
      <c r="E23" s="1">
        <v>30</v>
      </c>
      <c r="F23" s="1" t="s">
        <v>11</v>
      </c>
      <c r="G23" s="1">
        <v>37.5</v>
      </c>
      <c r="H23" s="1">
        <v>37.5</v>
      </c>
    </row>
    <row r="24" spans="1:8" x14ac:dyDescent="0.3">
      <c r="A24" s="1">
        <v>25</v>
      </c>
      <c r="B24" s="1">
        <v>2188014</v>
      </c>
      <c r="C24" s="1" t="s">
        <v>10</v>
      </c>
      <c r="D24" s="1">
        <v>1</v>
      </c>
      <c r="E24" s="1">
        <v>0</v>
      </c>
      <c r="F24" s="1" t="s">
        <v>9</v>
      </c>
      <c r="G24" s="1">
        <v>42.86</v>
      </c>
      <c r="H24" s="1">
        <v>42.86</v>
      </c>
    </row>
    <row r="25" spans="1:8" x14ac:dyDescent="0.3">
      <c r="A25" s="1">
        <v>26</v>
      </c>
      <c r="B25" s="1">
        <v>2191237</v>
      </c>
      <c r="C25" s="1" t="s">
        <v>8</v>
      </c>
      <c r="D25" s="1">
        <v>83</v>
      </c>
      <c r="E25" s="1">
        <v>60</v>
      </c>
      <c r="F25" s="1" t="s">
        <v>9</v>
      </c>
      <c r="G25" s="1">
        <v>25</v>
      </c>
      <c r="H25" s="1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H26" sqref="H26:H29"/>
    </sheetView>
  </sheetViews>
  <sheetFormatPr defaultRowHeight="14.4" x14ac:dyDescent="0.3"/>
  <cols>
    <col min="2" max="2" width="12.77734375" customWidth="1"/>
    <col min="3" max="3" width="12.6640625" customWidth="1"/>
    <col min="4" max="4" width="21.33203125" customWidth="1"/>
    <col min="5" max="6" width="11.88671875" customWidth="1"/>
    <col min="7" max="7" width="24.21875" customWidth="1"/>
    <col min="8" max="8" width="23.5546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4" t="s">
        <v>3</v>
      </c>
      <c r="E1" s="5"/>
      <c r="F1" s="2" t="s">
        <v>5</v>
      </c>
      <c r="G1" s="2" t="s">
        <v>6</v>
      </c>
      <c r="H1" s="2" t="s">
        <v>7</v>
      </c>
    </row>
    <row r="2" spans="1:8" x14ac:dyDescent="0.3">
      <c r="A2" s="1">
        <v>1</v>
      </c>
      <c r="B2" s="1">
        <v>2110407</v>
      </c>
      <c r="C2" s="1" t="s">
        <v>8</v>
      </c>
      <c r="D2" s="1">
        <v>14</v>
      </c>
      <c r="E2" s="1">
        <v>30</v>
      </c>
      <c r="F2" s="1" t="s">
        <v>9</v>
      </c>
      <c r="G2" s="1">
        <v>-20.79</v>
      </c>
      <c r="H2" s="1">
        <v>13.16</v>
      </c>
    </row>
    <row r="3" spans="1:8" x14ac:dyDescent="0.3">
      <c r="A3" s="1">
        <v>2</v>
      </c>
      <c r="B3" s="1">
        <v>2112635</v>
      </c>
      <c r="C3" s="1" t="s">
        <v>10</v>
      </c>
      <c r="D3" s="1">
        <v>18</v>
      </c>
      <c r="E3" s="1">
        <v>30</v>
      </c>
      <c r="F3" s="1" t="s">
        <v>9</v>
      </c>
      <c r="G3" s="1">
        <v>50</v>
      </c>
      <c r="H3" s="1">
        <v>320</v>
      </c>
    </row>
    <row r="4" spans="1:8" x14ac:dyDescent="0.3">
      <c r="A4" s="1">
        <v>3</v>
      </c>
      <c r="B4" s="1">
        <v>2112838</v>
      </c>
      <c r="C4" s="1" t="s">
        <v>10</v>
      </c>
      <c r="D4" s="1">
        <v>3</v>
      </c>
      <c r="E4" s="1">
        <v>45</v>
      </c>
      <c r="F4" s="1" t="s">
        <v>9</v>
      </c>
      <c r="G4" s="1">
        <v>42.84</v>
      </c>
      <c r="H4" s="1">
        <v>42.84</v>
      </c>
    </row>
    <row r="5" spans="1:8" x14ac:dyDescent="0.3">
      <c r="A5" s="1">
        <v>4</v>
      </c>
      <c r="B5" s="1">
        <v>2115021</v>
      </c>
      <c r="C5" s="1" t="s">
        <v>10</v>
      </c>
      <c r="D5" s="1">
        <v>26</v>
      </c>
      <c r="E5" s="1">
        <v>30</v>
      </c>
      <c r="F5" s="1" t="s">
        <v>9</v>
      </c>
      <c r="G5" s="1">
        <v>42.84</v>
      </c>
      <c r="H5" s="1">
        <v>42.84</v>
      </c>
    </row>
    <row r="6" spans="1:8" x14ac:dyDescent="0.3">
      <c r="A6" s="1">
        <v>5</v>
      </c>
      <c r="B6" s="1">
        <v>2115125</v>
      </c>
      <c r="C6" s="1" t="s">
        <v>8</v>
      </c>
      <c r="D6" s="1">
        <v>1</v>
      </c>
      <c r="E6" s="1">
        <v>120</v>
      </c>
      <c r="F6" s="1" t="s">
        <v>9</v>
      </c>
      <c r="G6" s="1">
        <v>42.59</v>
      </c>
      <c r="H6" s="1">
        <v>42.59</v>
      </c>
    </row>
    <row r="7" spans="1:8" x14ac:dyDescent="0.3">
      <c r="A7" s="1">
        <v>6</v>
      </c>
      <c r="B7" s="1">
        <v>2117167</v>
      </c>
      <c r="C7" s="1" t="s">
        <v>8</v>
      </c>
      <c r="D7" s="1">
        <v>17</v>
      </c>
      <c r="E7" s="1">
        <v>30</v>
      </c>
      <c r="F7" s="1" t="s">
        <v>11</v>
      </c>
      <c r="G7" s="1">
        <v>42.83</v>
      </c>
      <c r="H7" s="1">
        <v>42.83</v>
      </c>
    </row>
    <row r="8" spans="1:8" x14ac:dyDescent="0.3">
      <c r="A8" s="1">
        <v>7</v>
      </c>
      <c r="B8" s="1">
        <v>2119124</v>
      </c>
      <c r="C8" s="1" t="s">
        <v>8</v>
      </c>
      <c r="D8" s="1">
        <v>37</v>
      </c>
      <c r="E8" s="1">
        <v>30</v>
      </c>
      <c r="F8" s="1" t="s">
        <v>9</v>
      </c>
      <c r="G8" s="1">
        <v>31.58</v>
      </c>
      <c r="H8" s="1">
        <v>31.58</v>
      </c>
    </row>
    <row r="9" spans="1:8" x14ac:dyDescent="0.3">
      <c r="A9" s="1">
        <v>9</v>
      </c>
      <c r="B9" s="1">
        <v>2127572</v>
      </c>
      <c r="C9" s="1" t="s">
        <v>8</v>
      </c>
      <c r="D9" s="1">
        <v>16</v>
      </c>
      <c r="E9" s="1">
        <v>0</v>
      </c>
      <c r="F9" s="1" t="s">
        <v>11</v>
      </c>
      <c r="G9" s="1">
        <v>-20</v>
      </c>
      <c r="H9" s="1">
        <v>-20</v>
      </c>
    </row>
    <row r="10" spans="1:8" x14ac:dyDescent="0.3">
      <c r="A10" s="1">
        <v>11</v>
      </c>
      <c r="B10" s="1">
        <v>2138169</v>
      </c>
      <c r="C10" s="1" t="s">
        <v>10</v>
      </c>
      <c r="D10" s="1">
        <v>1</v>
      </c>
      <c r="E10" s="1">
        <v>30</v>
      </c>
      <c r="F10" s="1" t="s">
        <v>11</v>
      </c>
      <c r="G10" s="1">
        <v>-22.22</v>
      </c>
      <c r="H10" s="1">
        <v>-22.22</v>
      </c>
    </row>
    <row r="11" spans="1:8" x14ac:dyDescent="0.3">
      <c r="A11" s="1">
        <v>12</v>
      </c>
      <c r="B11" s="1">
        <v>2143362</v>
      </c>
      <c r="C11" s="1" t="s">
        <v>10</v>
      </c>
      <c r="D11" s="1">
        <v>6</v>
      </c>
      <c r="E11" s="1">
        <v>30</v>
      </c>
      <c r="F11" s="1" t="s">
        <v>11</v>
      </c>
      <c r="G11" s="1">
        <v>240</v>
      </c>
      <c r="H11" s="1">
        <v>220</v>
      </c>
    </row>
    <row r="12" spans="1:8" x14ac:dyDescent="0.3">
      <c r="A12" s="1">
        <v>13</v>
      </c>
      <c r="B12" s="1">
        <v>2151180</v>
      </c>
      <c r="C12" s="1" t="s">
        <v>10</v>
      </c>
      <c r="D12" s="1">
        <v>120</v>
      </c>
      <c r="E12" s="1">
        <v>30</v>
      </c>
      <c r="F12" s="1" t="s">
        <v>9</v>
      </c>
      <c r="G12" s="1">
        <v>5.26</v>
      </c>
      <c r="H12" s="1">
        <v>-60.53</v>
      </c>
    </row>
    <row r="13" spans="1:8" x14ac:dyDescent="0.3">
      <c r="A13" s="1">
        <v>14</v>
      </c>
      <c r="B13" s="1">
        <v>2154264</v>
      </c>
      <c r="C13" s="1" t="s">
        <v>10</v>
      </c>
      <c r="D13" s="1">
        <v>3</v>
      </c>
      <c r="E13" s="1">
        <v>0</v>
      </c>
      <c r="F13" s="1" t="s">
        <v>9</v>
      </c>
      <c r="G13" s="1">
        <v>28.21</v>
      </c>
      <c r="H13" s="1">
        <v>37.18</v>
      </c>
    </row>
    <row r="14" spans="1:8" x14ac:dyDescent="0.3">
      <c r="A14" s="1">
        <v>15</v>
      </c>
      <c r="B14" s="1">
        <v>2156236</v>
      </c>
      <c r="C14" s="1" t="s">
        <v>8</v>
      </c>
      <c r="D14" s="1">
        <v>14</v>
      </c>
      <c r="E14" s="1">
        <v>30</v>
      </c>
      <c r="F14" s="1" t="s">
        <v>9</v>
      </c>
      <c r="G14" s="1">
        <v>50</v>
      </c>
      <c r="H14" s="1">
        <v>287.5</v>
      </c>
    </row>
    <row r="15" spans="1:8" x14ac:dyDescent="0.3">
      <c r="A15" s="1">
        <v>16</v>
      </c>
      <c r="B15" s="1">
        <v>2158703</v>
      </c>
      <c r="C15" s="1" t="s">
        <v>10</v>
      </c>
      <c r="D15" s="1">
        <v>44</v>
      </c>
      <c r="E15" s="1">
        <v>75</v>
      </c>
      <c r="F15" s="1" t="s">
        <v>9</v>
      </c>
      <c r="G15" s="1">
        <v>45.45</v>
      </c>
      <c r="H15" s="1">
        <v>60</v>
      </c>
    </row>
    <row r="16" spans="1:8" x14ac:dyDescent="0.3">
      <c r="A16" s="1">
        <v>17</v>
      </c>
      <c r="B16" s="1">
        <v>2161257</v>
      </c>
      <c r="C16" s="1" t="s">
        <v>10</v>
      </c>
      <c r="D16" s="1">
        <v>7</v>
      </c>
      <c r="E16" s="1">
        <v>30</v>
      </c>
      <c r="F16" s="1" t="s">
        <v>12</v>
      </c>
      <c r="G16" s="1">
        <v>53.85</v>
      </c>
      <c r="H16" s="1">
        <v>50</v>
      </c>
    </row>
    <row r="17" spans="1:8" x14ac:dyDescent="0.3">
      <c r="A17" s="1">
        <v>18</v>
      </c>
      <c r="B17" s="1">
        <v>2162487</v>
      </c>
      <c r="C17" s="1" t="s">
        <v>10</v>
      </c>
      <c r="D17" s="1">
        <v>1</v>
      </c>
      <c r="E17" s="1">
        <v>30</v>
      </c>
      <c r="F17" s="1" t="s">
        <v>12</v>
      </c>
      <c r="G17" s="1">
        <v>-27.31</v>
      </c>
      <c r="H17" s="1">
        <v>-27.31</v>
      </c>
    </row>
    <row r="18" spans="1:8" x14ac:dyDescent="0.3">
      <c r="A18" s="1">
        <v>19</v>
      </c>
      <c r="B18" s="1">
        <v>2166041</v>
      </c>
      <c r="C18" s="1" t="s">
        <v>8</v>
      </c>
      <c r="D18" s="1">
        <v>98</v>
      </c>
      <c r="E18" s="1">
        <v>30</v>
      </c>
      <c r="F18" s="1" t="s">
        <v>9</v>
      </c>
      <c r="G18" s="1">
        <v>50</v>
      </c>
      <c r="H18" s="1">
        <v>165.36</v>
      </c>
    </row>
    <row r="19" spans="1:8" x14ac:dyDescent="0.3">
      <c r="A19" s="1">
        <v>20</v>
      </c>
      <c r="B19" s="1">
        <v>2172982</v>
      </c>
      <c r="C19" s="1" t="s">
        <v>10</v>
      </c>
      <c r="D19" s="1">
        <v>1</v>
      </c>
      <c r="E19" s="1">
        <v>0</v>
      </c>
      <c r="F19" s="1" t="s">
        <v>9</v>
      </c>
      <c r="G19" s="1">
        <v>30</v>
      </c>
      <c r="H19" s="1">
        <v>30</v>
      </c>
    </row>
    <row r="20" spans="1:8" x14ac:dyDescent="0.3">
      <c r="A20" s="1">
        <v>21</v>
      </c>
      <c r="B20" s="1">
        <v>2173730</v>
      </c>
      <c r="C20" s="1" t="s">
        <v>10</v>
      </c>
      <c r="D20" s="1">
        <v>1</v>
      </c>
      <c r="E20" s="1">
        <v>30</v>
      </c>
      <c r="F20" s="1" t="s">
        <v>11</v>
      </c>
      <c r="G20" s="1">
        <v>-13.42</v>
      </c>
      <c r="H20" s="1">
        <v>42.86</v>
      </c>
    </row>
    <row r="21" spans="1:8" x14ac:dyDescent="0.3">
      <c r="A21" s="1">
        <v>22</v>
      </c>
      <c r="B21" s="1">
        <v>2175237</v>
      </c>
      <c r="C21" s="1" t="s">
        <v>10</v>
      </c>
      <c r="D21" s="1">
        <v>7</v>
      </c>
      <c r="E21" s="1">
        <v>30</v>
      </c>
      <c r="F21" s="1" t="s">
        <v>11</v>
      </c>
      <c r="G21" s="1">
        <v>221.43</v>
      </c>
      <c r="H21" s="1">
        <v>164.29</v>
      </c>
    </row>
    <row r="22" spans="1:8" x14ac:dyDescent="0.3">
      <c r="A22" s="1">
        <v>23</v>
      </c>
      <c r="B22" s="1">
        <v>2175323</v>
      </c>
      <c r="C22" s="1" t="s">
        <v>10</v>
      </c>
      <c r="D22" s="1">
        <v>1</v>
      </c>
      <c r="E22" s="1">
        <v>0</v>
      </c>
      <c r="F22" s="1" t="s">
        <v>12</v>
      </c>
      <c r="G22" s="1">
        <v>42.78</v>
      </c>
      <c r="H22" s="1">
        <v>42.78</v>
      </c>
    </row>
    <row r="23" spans="1:8" x14ac:dyDescent="0.3">
      <c r="A23" s="1">
        <v>24</v>
      </c>
      <c r="B23" s="1">
        <v>2184108</v>
      </c>
      <c r="C23" s="1" t="s">
        <v>10</v>
      </c>
      <c r="D23" s="1">
        <v>0</v>
      </c>
      <c r="E23" s="1">
        <v>30</v>
      </c>
      <c r="F23" s="1" t="s">
        <v>11</v>
      </c>
      <c r="G23" s="1">
        <v>37.5</v>
      </c>
      <c r="H23" s="1">
        <v>37.5</v>
      </c>
    </row>
    <row r="24" spans="1:8" x14ac:dyDescent="0.3">
      <c r="A24" s="1">
        <v>25</v>
      </c>
      <c r="B24" s="1">
        <v>2188014</v>
      </c>
      <c r="C24" s="1" t="s">
        <v>10</v>
      </c>
      <c r="D24" s="1">
        <v>1</v>
      </c>
      <c r="E24" s="1">
        <v>0</v>
      </c>
      <c r="F24" s="1" t="s">
        <v>9</v>
      </c>
      <c r="G24" s="1">
        <v>42.86</v>
      </c>
      <c r="H24" s="1">
        <v>42.86</v>
      </c>
    </row>
    <row r="25" spans="1:8" x14ac:dyDescent="0.3">
      <c r="A25" s="1">
        <v>26</v>
      </c>
      <c r="B25" s="1">
        <v>2191237</v>
      </c>
      <c r="C25" s="1" t="s">
        <v>8</v>
      </c>
      <c r="D25" s="1">
        <v>83</v>
      </c>
      <c r="E25" s="1">
        <v>60</v>
      </c>
      <c r="F25" s="1" t="s">
        <v>9</v>
      </c>
      <c r="G25" s="1">
        <v>25</v>
      </c>
      <c r="H25" s="1">
        <v>25</v>
      </c>
    </row>
    <row r="26" spans="1:8" x14ac:dyDescent="0.3">
      <c r="F26" s="3" t="s">
        <v>13</v>
      </c>
      <c r="G26">
        <f>SUM(G2:G25)</f>
        <v>1021.2800000000001</v>
      </c>
      <c r="H26">
        <f>SUM(H2:H25)</f>
        <v>1611.11</v>
      </c>
    </row>
    <row r="27" spans="1:8" x14ac:dyDescent="0.3">
      <c r="F27" s="3" t="s">
        <v>14</v>
      </c>
      <c r="G27">
        <f>AVERAGE(G2:G25)</f>
        <v>42.553333333333335</v>
      </c>
      <c r="H27">
        <f>AVERAGE(H2:H25)</f>
        <v>67.129583333333329</v>
      </c>
    </row>
    <row r="28" spans="1:8" x14ac:dyDescent="0.3">
      <c r="F28" s="3" t="s">
        <v>15</v>
      </c>
      <c r="G28">
        <f>MODE(G2:G25)</f>
        <v>50</v>
      </c>
      <c r="H28">
        <f>MODE(H2:H25)</f>
        <v>42.84</v>
      </c>
    </row>
    <row r="29" spans="1:8" x14ac:dyDescent="0.3">
      <c r="F29" s="3" t="s">
        <v>16</v>
      </c>
      <c r="G29">
        <f>MEDIAN(G2:G25)</f>
        <v>42.685000000000002</v>
      </c>
      <c r="H29">
        <f>MEDIAN(H2:H25)</f>
        <v>42.805</v>
      </c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J6" sqref="J6:L10"/>
    </sheetView>
  </sheetViews>
  <sheetFormatPr defaultRowHeight="14.4" x14ac:dyDescent="0.3"/>
  <cols>
    <col min="2" max="2" width="12.6640625" customWidth="1"/>
    <col min="3" max="3" width="12.5546875" customWidth="1"/>
    <col min="4" max="4" width="20.77734375" customWidth="1"/>
    <col min="5" max="5" width="12.33203125" customWidth="1"/>
    <col min="6" max="6" width="12.109375" customWidth="1"/>
    <col min="7" max="7" width="25.44140625" customWidth="1"/>
    <col min="8" max="8" width="23.44140625" customWidth="1"/>
    <col min="11" max="11" width="24.21875" customWidth="1"/>
    <col min="12" max="12" width="23.8867187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2" x14ac:dyDescent="0.3">
      <c r="A2" s="1">
        <v>1</v>
      </c>
      <c r="B2" s="1">
        <v>2110407</v>
      </c>
      <c r="C2" s="1" t="s">
        <v>8</v>
      </c>
      <c r="D2" s="1">
        <v>14</v>
      </c>
      <c r="E2" s="1">
        <v>30</v>
      </c>
      <c r="F2" s="1" t="s">
        <v>9</v>
      </c>
      <c r="G2" s="1">
        <v>-20.79</v>
      </c>
      <c r="H2" s="1">
        <v>13.16</v>
      </c>
    </row>
    <row r="3" spans="1:12" x14ac:dyDescent="0.3">
      <c r="A3" s="1">
        <v>2</v>
      </c>
      <c r="B3" s="1">
        <v>2112635</v>
      </c>
      <c r="C3" s="1" t="s">
        <v>10</v>
      </c>
      <c r="D3" s="1">
        <v>18</v>
      </c>
      <c r="E3" s="1">
        <v>30</v>
      </c>
      <c r="F3" s="1" t="s">
        <v>9</v>
      </c>
      <c r="G3" s="1">
        <v>50</v>
      </c>
      <c r="H3" s="1">
        <v>320</v>
      </c>
    </row>
    <row r="4" spans="1:12" x14ac:dyDescent="0.3">
      <c r="A4" s="1">
        <v>3</v>
      </c>
      <c r="B4" s="1">
        <v>2112838</v>
      </c>
      <c r="C4" s="1" t="s">
        <v>10</v>
      </c>
      <c r="D4" s="1">
        <v>3</v>
      </c>
      <c r="E4" s="1">
        <v>45</v>
      </c>
      <c r="F4" s="1" t="s">
        <v>9</v>
      </c>
      <c r="G4" s="1">
        <v>42.84</v>
      </c>
      <c r="H4" s="1">
        <v>42.84</v>
      </c>
    </row>
    <row r="5" spans="1:12" x14ac:dyDescent="0.3">
      <c r="A5" s="1">
        <v>4</v>
      </c>
      <c r="B5" s="1">
        <v>2115021</v>
      </c>
      <c r="C5" s="1" t="s">
        <v>10</v>
      </c>
      <c r="D5" s="1">
        <v>26</v>
      </c>
      <c r="E5" s="1">
        <v>30</v>
      </c>
      <c r="F5" s="1" t="s">
        <v>9</v>
      </c>
      <c r="G5" s="1">
        <v>42.84</v>
      </c>
      <c r="H5" s="1">
        <v>42.84</v>
      </c>
    </row>
    <row r="6" spans="1:12" x14ac:dyDescent="0.3">
      <c r="A6" s="1">
        <v>5</v>
      </c>
      <c r="B6" s="1">
        <v>2115125</v>
      </c>
      <c r="C6" s="1" t="s">
        <v>8</v>
      </c>
      <c r="D6" s="1">
        <v>1</v>
      </c>
      <c r="E6" s="1">
        <v>120</v>
      </c>
      <c r="F6" s="1" t="s">
        <v>9</v>
      </c>
      <c r="G6" s="1">
        <v>42.59</v>
      </c>
      <c r="H6" s="1">
        <v>42.59</v>
      </c>
      <c r="K6" s="2" t="s">
        <v>6</v>
      </c>
      <c r="L6" s="2" t="s">
        <v>7</v>
      </c>
    </row>
    <row r="7" spans="1:12" x14ac:dyDescent="0.3">
      <c r="A7" s="1">
        <v>6</v>
      </c>
      <c r="B7" s="1">
        <v>2117167</v>
      </c>
      <c r="C7" s="1" t="s">
        <v>8</v>
      </c>
      <c r="D7" s="1">
        <v>17</v>
      </c>
      <c r="E7" s="1">
        <v>30</v>
      </c>
      <c r="F7" s="1" t="s">
        <v>11</v>
      </c>
      <c r="G7" s="1">
        <v>42.83</v>
      </c>
      <c r="H7" s="1">
        <v>42.83</v>
      </c>
      <c r="J7" s="3" t="s">
        <v>13</v>
      </c>
      <c r="K7">
        <v>1021.2800000000001</v>
      </c>
      <c r="L7">
        <v>1611.11</v>
      </c>
    </row>
    <row r="8" spans="1:12" x14ac:dyDescent="0.3">
      <c r="A8" s="1">
        <v>7</v>
      </c>
      <c r="B8" s="1">
        <v>2119124</v>
      </c>
      <c r="C8" s="1" t="s">
        <v>8</v>
      </c>
      <c r="D8" s="1">
        <v>37</v>
      </c>
      <c r="E8" s="1">
        <v>30</v>
      </c>
      <c r="F8" s="1" t="s">
        <v>9</v>
      </c>
      <c r="G8" s="1">
        <v>31.58</v>
      </c>
      <c r="H8" s="1">
        <v>31.58</v>
      </c>
      <c r="J8" s="3" t="s">
        <v>14</v>
      </c>
      <c r="K8">
        <v>42.553333333333335</v>
      </c>
      <c r="L8">
        <v>67.129583333333329</v>
      </c>
    </row>
    <row r="9" spans="1:12" x14ac:dyDescent="0.3">
      <c r="A9" s="1">
        <v>9</v>
      </c>
      <c r="B9" s="1">
        <v>2127572</v>
      </c>
      <c r="C9" s="1" t="s">
        <v>8</v>
      </c>
      <c r="D9" s="1">
        <v>16</v>
      </c>
      <c r="E9" s="1">
        <v>0</v>
      </c>
      <c r="F9" s="1" t="s">
        <v>11</v>
      </c>
      <c r="G9" s="1">
        <v>-20</v>
      </c>
      <c r="H9" s="1">
        <v>-20</v>
      </c>
      <c r="J9" s="3" t="s">
        <v>15</v>
      </c>
      <c r="K9">
        <v>50</v>
      </c>
      <c r="L9">
        <v>42.84</v>
      </c>
    </row>
    <row r="10" spans="1:12" x14ac:dyDescent="0.3">
      <c r="A10" s="1">
        <v>11</v>
      </c>
      <c r="B10" s="1">
        <v>2138169</v>
      </c>
      <c r="C10" s="1" t="s">
        <v>10</v>
      </c>
      <c r="D10" s="1">
        <v>1</v>
      </c>
      <c r="E10" s="1">
        <v>30</v>
      </c>
      <c r="F10" s="1" t="s">
        <v>11</v>
      </c>
      <c r="G10" s="1">
        <v>-22.22</v>
      </c>
      <c r="H10" s="1">
        <v>-22.22</v>
      </c>
      <c r="J10" s="3" t="s">
        <v>16</v>
      </c>
      <c r="K10">
        <v>42.685000000000002</v>
      </c>
      <c r="L10">
        <v>42.805</v>
      </c>
    </row>
    <row r="11" spans="1:12" x14ac:dyDescent="0.3">
      <c r="A11" s="1">
        <v>12</v>
      </c>
      <c r="B11" s="1">
        <v>2143362</v>
      </c>
      <c r="C11" s="1" t="s">
        <v>10</v>
      </c>
      <c r="D11" s="1">
        <v>6</v>
      </c>
      <c r="E11" s="1">
        <v>30</v>
      </c>
      <c r="F11" s="1" t="s">
        <v>11</v>
      </c>
      <c r="G11" s="1">
        <v>240</v>
      </c>
      <c r="H11" s="1">
        <v>220</v>
      </c>
    </row>
    <row r="12" spans="1:12" x14ac:dyDescent="0.3">
      <c r="A12" s="1">
        <v>13</v>
      </c>
      <c r="B12" s="1">
        <v>2151180</v>
      </c>
      <c r="C12" s="1" t="s">
        <v>10</v>
      </c>
      <c r="D12" s="1">
        <v>120</v>
      </c>
      <c r="E12" s="1">
        <v>30</v>
      </c>
      <c r="F12" s="1" t="s">
        <v>9</v>
      </c>
      <c r="G12" s="1">
        <v>5.26</v>
      </c>
      <c r="H12" s="1">
        <v>-60.53</v>
      </c>
    </row>
    <row r="13" spans="1:12" x14ac:dyDescent="0.3">
      <c r="A13" s="1">
        <v>14</v>
      </c>
      <c r="B13" s="1">
        <v>2154264</v>
      </c>
      <c r="C13" s="1" t="s">
        <v>10</v>
      </c>
      <c r="D13" s="1">
        <v>3</v>
      </c>
      <c r="E13" s="1">
        <v>0</v>
      </c>
      <c r="F13" s="1" t="s">
        <v>9</v>
      </c>
      <c r="G13" s="1">
        <v>28.21</v>
      </c>
      <c r="H13" s="1">
        <v>37.18</v>
      </c>
    </row>
    <row r="14" spans="1:12" x14ac:dyDescent="0.3">
      <c r="A14" s="1">
        <v>15</v>
      </c>
      <c r="B14" s="1">
        <v>2156236</v>
      </c>
      <c r="C14" s="1" t="s">
        <v>8</v>
      </c>
      <c r="D14" s="1">
        <v>14</v>
      </c>
      <c r="E14" s="1">
        <v>30</v>
      </c>
      <c r="F14" s="1" t="s">
        <v>9</v>
      </c>
      <c r="G14" s="1">
        <v>50</v>
      </c>
      <c r="H14" s="1">
        <v>287.5</v>
      </c>
    </row>
    <row r="15" spans="1:12" x14ac:dyDescent="0.3">
      <c r="A15" s="1">
        <v>16</v>
      </c>
      <c r="B15" s="1">
        <v>2158703</v>
      </c>
      <c r="C15" s="1" t="s">
        <v>10</v>
      </c>
      <c r="D15" s="1">
        <v>44</v>
      </c>
      <c r="E15" s="1">
        <v>75</v>
      </c>
      <c r="F15" s="1" t="s">
        <v>9</v>
      </c>
      <c r="G15" s="1">
        <v>45.45</v>
      </c>
      <c r="H15" s="1">
        <v>60</v>
      </c>
    </row>
    <row r="16" spans="1:12" x14ac:dyDescent="0.3">
      <c r="A16" s="1">
        <v>17</v>
      </c>
      <c r="B16" s="1">
        <v>2161257</v>
      </c>
      <c r="C16" s="1" t="s">
        <v>10</v>
      </c>
      <c r="D16" s="1">
        <v>7</v>
      </c>
      <c r="E16" s="1">
        <v>30</v>
      </c>
      <c r="F16" s="1" t="s">
        <v>12</v>
      </c>
      <c r="G16" s="1">
        <v>53.85</v>
      </c>
      <c r="H16" s="1">
        <v>50</v>
      </c>
    </row>
    <row r="17" spans="1:8" x14ac:dyDescent="0.3">
      <c r="A17" s="1">
        <v>18</v>
      </c>
      <c r="B17" s="1">
        <v>2162487</v>
      </c>
      <c r="C17" s="1" t="s">
        <v>10</v>
      </c>
      <c r="D17" s="1">
        <v>1</v>
      </c>
      <c r="E17" s="1">
        <v>30</v>
      </c>
      <c r="F17" s="1" t="s">
        <v>12</v>
      </c>
      <c r="G17" s="1">
        <v>-27.31</v>
      </c>
      <c r="H17" s="1">
        <v>-27.31</v>
      </c>
    </row>
    <row r="18" spans="1:8" x14ac:dyDescent="0.3">
      <c r="A18" s="1">
        <v>19</v>
      </c>
      <c r="B18" s="1">
        <v>2166041</v>
      </c>
      <c r="C18" s="1" t="s">
        <v>8</v>
      </c>
      <c r="D18" s="1">
        <v>98</v>
      </c>
      <c r="E18" s="1">
        <v>30</v>
      </c>
      <c r="F18" s="1" t="s">
        <v>9</v>
      </c>
      <c r="G18" s="1">
        <v>50</v>
      </c>
      <c r="H18" s="1">
        <v>165.36</v>
      </c>
    </row>
    <row r="19" spans="1:8" x14ac:dyDescent="0.3">
      <c r="A19" s="1">
        <v>20</v>
      </c>
      <c r="B19" s="1">
        <v>2172982</v>
      </c>
      <c r="C19" s="1" t="s">
        <v>10</v>
      </c>
      <c r="D19" s="1">
        <v>1</v>
      </c>
      <c r="E19" s="1">
        <v>0</v>
      </c>
      <c r="F19" s="1" t="s">
        <v>9</v>
      </c>
      <c r="G19" s="1">
        <v>30</v>
      </c>
      <c r="H19" s="1">
        <v>30</v>
      </c>
    </row>
    <row r="20" spans="1:8" x14ac:dyDescent="0.3">
      <c r="A20" s="1">
        <v>21</v>
      </c>
      <c r="B20" s="1">
        <v>2173730</v>
      </c>
      <c r="C20" s="1" t="s">
        <v>10</v>
      </c>
      <c r="D20" s="1">
        <v>1</v>
      </c>
      <c r="E20" s="1">
        <v>30</v>
      </c>
      <c r="F20" s="1" t="s">
        <v>11</v>
      </c>
      <c r="G20" s="1">
        <v>-13.42</v>
      </c>
      <c r="H20" s="1">
        <v>42.86</v>
      </c>
    </row>
    <row r="21" spans="1:8" x14ac:dyDescent="0.3">
      <c r="A21" s="1">
        <v>22</v>
      </c>
      <c r="B21" s="1">
        <v>2175237</v>
      </c>
      <c r="C21" s="1" t="s">
        <v>10</v>
      </c>
      <c r="D21" s="1">
        <v>7</v>
      </c>
      <c r="E21" s="1">
        <v>30</v>
      </c>
      <c r="F21" s="1" t="s">
        <v>11</v>
      </c>
      <c r="G21" s="1">
        <v>221.43</v>
      </c>
      <c r="H21" s="1">
        <v>164.29</v>
      </c>
    </row>
    <row r="22" spans="1:8" x14ac:dyDescent="0.3">
      <c r="A22" s="1">
        <v>23</v>
      </c>
      <c r="B22" s="1">
        <v>2175323</v>
      </c>
      <c r="C22" s="1" t="s">
        <v>10</v>
      </c>
      <c r="D22" s="1">
        <v>1</v>
      </c>
      <c r="E22" s="1">
        <v>0</v>
      </c>
      <c r="F22" s="1" t="s">
        <v>12</v>
      </c>
      <c r="G22" s="1">
        <v>42.78</v>
      </c>
      <c r="H22" s="1">
        <v>42.78</v>
      </c>
    </row>
    <row r="23" spans="1:8" x14ac:dyDescent="0.3">
      <c r="A23" s="1">
        <v>24</v>
      </c>
      <c r="B23" s="1">
        <v>2184108</v>
      </c>
      <c r="C23" s="1" t="s">
        <v>10</v>
      </c>
      <c r="D23" s="1">
        <v>0</v>
      </c>
      <c r="E23" s="1">
        <v>30</v>
      </c>
      <c r="F23" s="1" t="s">
        <v>11</v>
      </c>
      <c r="G23" s="1">
        <v>37.5</v>
      </c>
      <c r="H23" s="1">
        <v>37.5</v>
      </c>
    </row>
    <row r="24" spans="1:8" x14ac:dyDescent="0.3">
      <c r="A24" s="1">
        <v>25</v>
      </c>
      <c r="B24" s="1">
        <v>2188014</v>
      </c>
      <c r="C24" s="1" t="s">
        <v>10</v>
      </c>
      <c r="D24" s="1">
        <v>1</v>
      </c>
      <c r="E24" s="1">
        <v>0</v>
      </c>
      <c r="F24" s="1" t="s">
        <v>9</v>
      </c>
      <c r="G24" s="1">
        <v>42.86</v>
      </c>
      <c r="H24" s="1">
        <v>42.86</v>
      </c>
    </row>
    <row r="25" spans="1:8" x14ac:dyDescent="0.3">
      <c r="A25" s="1">
        <v>26</v>
      </c>
      <c r="B25" s="1">
        <v>2191237</v>
      </c>
      <c r="C25" s="1" t="s">
        <v>8</v>
      </c>
      <c r="D25" s="1">
        <v>83</v>
      </c>
      <c r="E25" s="1">
        <v>60</v>
      </c>
      <c r="F25" s="1" t="s">
        <v>9</v>
      </c>
      <c r="G25" s="1">
        <v>25</v>
      </c>
      <c r="H25" s="1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K19" sqref="K19"/>
    </sheetView>
  </sheetViews>
  <sheetFormatPr defaultRowHeight="14.4" x14ac:dyDescent="0.3"/>
  <cols>
    <col min="2" max="2" width="13.6640625" customWidth="1"/>
    <col min="3" max="3" width="12.6640625" customWidth="1"/>
    <col min="4" max="4" width="21.44140625" customWidth="1"/>
    <col min="5" max="5" width="12" customWidth="1"/>
    <col min="6" max="7" width="12.21875" customWidth="1"/>
    <col min="8" max="8" width="24.77734375" customWidth="1"/>
    <col min="9" max="9" width="24.33203125" customWidth="1"/>
    <col min="11" max="11" width="57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6</v>
      </c>
      <c r="I1" s="2" t="s">
        <v>7</v>
      </c>
    </row>
    <row r="2" spans="1:11" x14ac:dyDescent="0.3">
      <c r="A2" s="1">
        <v>24</v>
      </c>
      <c r="B2" s="1">
        <v>2184108</v>
      </c>
      <c r="C2" s="1" t="s">
        <v>10</v>
      </c>
      <c r="D2" s="1">
        <v>0</v>
      </c>
      <c r="E2" s="1">
        <v>30</v>
      </c>
      <c r="F2" s="1" t="s">
        <v>11</v>
      </c>
      <c r="G2" s="1"/>
      <c r="H2" s="1">
        <v>37.5</v>
      </c>
      <c r="I2" s="1">
        <v>37.5</v>
      </c>
    </row>
    <row r="3" spans="1:11" x14ac:dyDescent="0.3">
      <c r="A3" s="1">
        <v>5</v>
      </c>
      <c r="B3" s="1">
        <v>2115125</v>
      </c>
      <c r="C3" s="1" t="s">
        <v>8</v>
      </c>
      <c r="D3" s="1">
        <v>1</v>
      </c>
      <c r="E3" s="1">
        <v>120</v>
      </c>
      <c r="F3" s="1" t="s">
        <v>9</v>
      </c>
      <c r="G3" s="1"/>
      <c r="H3" s="1">
        <v>42.59</v>
      </c>
      <c r="I3" s="1">
        <v>42.59</v>
      </c>
    </row>
    <row r="4" spans="1:11" x14ac:dyDescent="0.3">
      <c r="A4" s="1">
        <v>11</v>
      </c>
      <c r="B4" s="1">
        <v>2138169</v>
      </c>
      <c r="C4" s="1" t="s">
        <v>10</v>
      </c>
      <c r="D4" s="1">
        <v>1</v>
      </c>
      <c r="E4" s="1">
        <v>30</v>
      </c>
      <c r="F4" s="1" t="s">
        <v>11</v>
      </c>
      <c r="G4" s="1"/>
      <c r="H4" s="1">
        <v>-22.22</v>
      </c>
      <c r="I4" s="1">
        <v>-22.22</v>
      </c>
    </row>
    <row r="5" spans="1:11" x14ac:dyDescent="0.3">
      <c r="A5" s="1">
        <v>18</v>
      </c>
      <c r="B5" s="1">
        <v>2162487</v>
      </c>
      <c r="C5" s="1" t="s">
        <v>10</v>
      </c>
      <c r="D5" s="1">
        <v>1</v>
      </c>
      <c r="E5" s="1">
        <v>30</v>
      </c>
      <c r="F5" s="1" t="s">
        <v>12</v>
      </c>
      <c r="G5" s="1"/>
      <c r="H5" s="1">
        <v>-27.31</v>
      </c>
      <c r="I5" s="1">
        <v>-27.31</v>
      </c>
    </row>
    <row r="6" spans="1:11" x14ac:dyDescent="0.3">
      <c r="A6" s="1">
        <v>20</v>
      </c>
      <c r="B6" s="1">
        <v>2172982</v>
      </c>
      <c r="C6" s="1" t="s">
        <v>10</v>
      </c>
      <c r="D6" s="1">
        <v>1</v>
      </c>
      <c r="E6" s="1">
        <v>0</v>
      </c>
      <c r="F6" s="1" t="s">
        <v>9</v>
      </c>
      <c r="G6" s="1"/>
      <c r="H6" s="1">
        <v>30</v>
      </c>
      <c r="I6" s="1">
        <v>30</v>
      </c>
      <c r="K6" t="s">
        <v>17</v>
      </c>
    </row>
    <row r="7" spans="1:11" x14ac:dyDescent="0.3">
      <c r="A7" s="1">
        <v>21</v>
      </c>
      <c r="B7" s="1">
        <v>2173730</v>
      </c>
      <c r="C7" s="1" t="s">
        <v>10</v>
      </c>
      <c r="D7" s="1">
        <v>1</v>
      </c>
      <c r="E7" s="1">
        <v>30</v>
      </c>
      <c r="F7" s="1" t="s">
        <v>11</v>
      </c>
      <c r="G7" s="1"/>
      <c r="H7" s="1">
        <v>-13.42</v>
      </c>
      <c r="I7" s="1">
        <v>42.86</v>
      </c>
    </row>
    <row r="8" spans="1:11" x14ac:dyDescent="0.3">
      <c r="A8" s="1">
        <v>23</v>
      </c>
      <c r="B8" s="1">
        <v>2175323</v>
      </c>
      <c r="C8" s="1" t="s">
        <v>10</v>
      </c>
      <c r="D8" s="1">
        <v>1</v>
      </c>
      <c r="E8" s="1">
        <v>0</v>
      </c>
      <c r="F8" s="1" t="s">
        <v>12</v>
      </c>
      <c r="G8" s="1"/>
      <c r="H8" s="1">
        <v>42.78</v>
      </c>
      <c r="I8" s="1">
        <v>42.78</v>
      </c>
    </row>
    <row r="9" spans="1:11" x14ac:dyDescent="0.3">
      <c r="A9" s="1">
        <v>25</v>
      </c>
      <c r="B9" s="1">
        <v>2188014</v>
      </c>
      <c r="C9" s="1" t="s">
        <v>10</v>
      </c>
      <c r="D9" s="1">
        <v>1</v>
      </c>
      <c r="E9" s="1">
        <v>0</v>
      </c>
      <c r="F9" s="1" t="s">
        <v>9</v>
      </c>
      <c r="G9" s="1"/>
      <c r="H9" s="1">
        <v>42.86</v>
      </c>
      <c r="I9" s="1">
        <v>42.86</v>
      </c>
    </row>
    <row r="10" spans="1:11" x14ac:dyDescent="0.3">
      <c r="A10" s="1">
        <v>3</v>
      </c>
      <c r="B10" s="1">
        <v>2112838</v>
      </c>
      <c r="C10" s="1" t="s">
        <v>10</v>
      </c>
      <c r="D10" s="1">
        <v>3</v>
      </c>
      <c r="E10" s="1">
        <v>45</v>
      </c>
      <c r="F10" s="1" t="s">
        <v>9</v>
      </c>
      <c r="G10" s="1"/>
      <c r="H10" s="1">
        <v>42.84</v>
      </c>
      <c r="I10" s="1">
        <v>42.84</v>
      </c>
    </row>
    <row r="11" spans="1:11" x14ac:dyDescent="0.3">
      <c r="A11" s="1">
        <v>14</v>
      </c>
      <c r="B11" s="1">
        <v>2154264</v>
      </c>
      <c r="C11" s="1" t="s">
        <v>10</v>
      </c>
      <c r="D11" s="1">
        <v>3</v>
      </c>
      <c r="E11" s="1">
        <v>0</v>
      </c>
      <c r="F11" s="1" t="s">
        <v>9</v>
      </c>
      <c r="G11" s="1"/>
      <c r="H11" s="1">
        <v>28.21</v>
      </c>
      <c r="I11" s="1">
        <v>37.18</v>
      </c>
    </row>
    <row r="12" spans="1:11" x14ac:dyDescent="0.3">
      <c r="A12" s="1">
        <v>12</v>
      </c>
      <c r="B12" s="1">
        <v>2143362</v>
      </c>
      <c r="C12" s="1" t="s">
        <v>10</v>
      </c>
      <c r="D12" s="1">
        <v>6</v>
      </c>
      <c r="E12" s="1">
        <v>30</v>
      </c>
      <c r="F12" s="1" t="s">
        <v>11</v>
      </c>
      <c r="G12" s="1"/>
      <c r="H12" s="1">
        <v>240</v>
      </c>
      <c r="I12" s="1">
        <v>220</v>
      </c>
    </row>
    <row r="13" spans="1:11" x14ac:dyDescent="0.3">
      <c r="A13" s="1">
        <v>17</v>
      </c>
      <c r="B13" s="1">
        <v>2161257</v>
      </c>
      <c r="C13" s="1" t="s">
        <v>10</v>
      </c>
      <c r="D13" s="1">
        <v>7</v>
      </c>
      <c r="E13" s="1">
        <v>30</v>
      </c>
      <c r="F13" s="1" t="s">
        <v>12</v>
      </c>
      <c r="G13" s="1"/>
      <c r="H13" s="1">
        <v>53.85</v>
      </c>
      <c r="I13" s="1">
        <v>50</v>
      </c>
    </row>
    <row r="14" spans="1:11" x14ac:dyDescent="0.3">
      <c r="A14" s="1">
        <v>22</v>
      </c>
      <c r="B14" s="1">
        <v>2175237</v>
      </c>
      <c r="C14" s="1" t="s">
        <v>10</v>
      </c>
      <c r="D14" s="1">
        <v>7</v>
      </c>
      <c r="E14" s="1">
        <v>30</v>
      </c>
      <c r="F14" s="1" t="s">
        <v>11</v>
      </c>
      <c r="G14" s="1"/>
      <c r="H14" s="1">
        <v>221.43</v>
      </c>
      <c r="I14" s="1">
        <v>164.29</v>
      </c>
    </row>
    <row r="15" spans="1:11" x14ac:dyDescent="0.3">
      <c r="A15" s="1">
        <v>1</v>
      </c>
      <c r="B15" s="1">
        <v>2110407</v>
      </c>
      <c r="C15" s="1" t="s">
        <v>8</v>
      </c>
      <c r="D15" s="1">
        <v>14</v>
      </c>
      <c r="E15" s="1">
        <v>30</v>
      </c>
      <c r="F15" s="1" t="s">
        <v>9</v>
      </c>
      <c r="G15" s="1"/>
      <c r="H15" s="1">
        <v>-20.79</v>
      </c>
      <c r="I15" s="1">
        <v>13.16</v>
      </c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>
        <v>15</v>
      </c>
      <c r="B17" s="1">
        <v>2156236</v>
      </c>
      <c r="C17" s="1" t="s">
        <v>8</v>
      </c>
      <c r="D17" s="1">
        <v>14</v>
      </c>
      <c r="E17" s="1">
        <v>30</v>
      </c>
      <c r="F17" s="1" t="s">
        <v>9</v>
      </c>
      <c r="G17" s="1"/>
      <c r="H17" s="1">
        <v>50</v>
      </c>
      <c r="I17" s="1">
        <v>287.5</v>
      </c>
    </row>
    <row r="18" spans="1:9" x14ac:dyDescent="0.3">
      <c r="A18" s="1">
        <v>9</v>
      </c>
      <c r="B18" s="1">
        <v>2127572</v>
      </c>
      <c r="C18" s="1" t="s">
        <v>8</v>
      </c>
      <c r="D18" s="1">
        <v>16</v>
      </c>
      <c r="E18" s="1">
        <v>0</v>
      </c>
      <c r="F18" s="1" t="s">
        <v>11</v>
      </c>
      <c r="G18" s="1"/>
      <c r="H18" s="1">
        <v>-20</v>
      </c>
      <c r="I18" s="1">
        <v>-20</v>
      </c>
    </row>
    <row r="19" spans="1:9" x14ac:dyDescent="0.3">
      <c r="A19" s="1">
        <v>6</v>
      </c>
      <c r="B19" s="1">
        <v>2117167</v>
      </c>
      <c r="C19" s="1" t="s">
        <v>8</v>
      </c>
      <c r="D19" s="1">
        <v>17</v>
      </c>
      <c r="E19" s="1">
        <v>30</v>
      </c>
      <c r="F19" s="1" t="s">
        <v>11</v>
      </c>
      <c r="G19" s="1"/>
      <c r="H19" s="1">
        <v>42.83</v>
      </c>
      <c r="I19" s="1">
        <v>42.83</v>
      </c>
    </row>
    <row r="20" spans="1:9" x14ac:dyDescent="0.3">
      <c r="A20" s="1">
        <v>2</v>
      </c>
      <c r="B20" s="1">
        <v>2112635</v>
      </c>
      <c r="C20" s="1" t="s">
        <v>10</v>
      </c>
      <c r="D20" s="1">
        <v>18</v>
      </c>
      <c r="E20" s="1">
        <v>30</v>
      </c>
      <c r="F20" s="1" t="s">
        <v>9</v>
      </c>
      <c r="G20" s="1"/>
      <c r="H20" s="1">
        <v>50</v>
      </c>
      <c r="I20" s="1">
        <v>320</v>
      </c>
    </row>
    <row r="21" spans="1:9" x14ac:dyDescent="0.3">
      <c r="A21" s="1">
        <v>4</v>
      </c>
      <c r="B21" s="1">
        <v>2115021</v>
      </c>
      <c r="C21" s="1" t="s">
        <v>10</v>
      </c>
      <c r="D21" s="1">
        <v>26</v>
      </c>
      <c r="E21" s="1">
        <v>30</v>
      </c>
      <c r="F21" s="1" t="s">
        <v>9</v>
      </c>
      <c r="G21" s="1"/>
      <c r="H21" s="1">
        <v>42.84</v>
      </c>
      <c r="I21" s="1">
        <v>42.84</v>
      </c>
    </row>
    <row r="22" spans="1:9" x14ac:dyDescent="0.3">
      <c r="A22" s="1">
        <v>7</v>
      </c>
      <c r="B22" s="1">
        <v>2119124</v>
      </c>
      <c r="C22" s="1" t="s">
        <v>8</v>
      </c>
      <c r="D22" s="1">
        <v>37</v>
      </c>
      <c r="E22" s="1">
        <v>30</v>
      </c>
      <c r="F22" s="1" t="s">
        <v>9</v>
      </c>
      <c r="G22" s="1"/>
      <c r="H22" s="1">
        <v>31.58</v>
      </c>
      <c r="I22" s="1">
        <v>31.58</v>
      </c>
    </row>
    <row r="23" spans="1:9" x14ac:dyDescent="0.3">
      <c r="A23" s="1">
        <v>16</v>
      </c>
      <c r="B23" s="1">
        <v>2158703</v>
      </c>
      <c r="C23" s="1" t="s">
        <v>10</v>
      </c>
      <c r="D23" s="1">
        <v>44</v>
      </c>
      <c r="E23" s="1">
        <v>75</v>
      </c>
      <c r="F23" s="1" t="s">
        <v>9</v>
      </c>
      <c r="G23" s="1"/>
      <c r="H23" s="1">
        <v>45.45</v>
      </c>
      <c r="I23" s="1">
        <v>60</v>
      </c>
    </row>
    <row r="24" spans="1:9" x14ac:dyDescent="0.3">
      <c r="A24" s="1">
        <v>26</v>
      </c>
      <c r="B24" s="1">
        <v>2191237</v>
      </c>
      <c r="C24" s="1" t="s">
        <v>8</v>
      </c>
      <c r="D24" s="1">
        <v>83</v>
      </c>
      <c r="E24" s="1">
        <v>60</v>
      </c>
      <c r="F24" s="1" t="s">
        <v>9</v>
      </c>
      <c r="G24" s="1"/>
      <c r="H24" s="1">
        <v>25</v>
      </c>
      <c r="I24" s="1">
        <v>25</v>
      </c>
    </row>
    <row r="25" spans="1:9" x14ac:dyDescent="0.3">
      <c r="A25" s="1">
        <v>19</v>
      </c>
      <c r="B25" s="1">
        <v>2166041</v>
      </c>
      <c r="C25" s="1" t="s">
        <v>8</v>
      </c>
      <c r="D25" s="1">
        <v>98</v>
      </c>
      <c r="E25" s="1">
        <v>30</v>
      </c>
      <c r="F25" s="1" t="s">
        <v>9</v>
      </c>
      <c r="G25" s="1"/>
      <c r="H25" s="1">
        <v>50</v>
      </c>
      <c r="I25" s="1">
        <v>165.36</v>
      </c>
    </row>
    <row r="26" spans="1:9" x14ac:dyDescent="0.3">
      <c r="A26" s="1">
        <v>13</v>
      </c>
      <c r="B26" s="1">
        <v>2151180</v>
      </c>
      <c r="C26" s="1" t="s">
        <v>10</v>
      </c>
      <c r="D26" s="1">
        <v>120</v>
      </c>
      <c r="E26" s="1">
        <v>30</v>
      </c>
      <c r="F26" s="1" t="s">
        <v>9</v>
      </c>
      <c r="G26" s="1"/>
      <c r="H26" s="1">
        <v>5.26</v>
      </c>
      <c r="I26" s="1">
        <v>-60.53</v>
      </c>
    </row>
  </sheetData>
  <sortState xmlns:xlrd2="http://schemas.microsoft.com/office/spreadsheetml/2017/richdata2" ref="A2:I26">
    <sortCondition ref="D1:D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I22" sqref="I22"/>
    </sheetView>
  </sheetViews>
  <sheetFormatPr defaultRowHeight="14.4" x14ac:dyDescent="0.3"/>
  <cols>
    <col min="2" max="2" width="14.109375" customWidth="1"/>
    <col min="3" max="3" width="12.88671875" customWidth="1"/>
    <col min="4" max="4" width="16.33203125" customWidth="1"/>
    <col min="5" max="5" width="12.77734375" customWidth="1"/>
    <col min="6" max="6" width="11.5546875" customWidth="1"/>
    <col min="7" max="7" width="24.33203125" customWidth="1"/>
    <col min="8" max="8" width="23.8867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 x14ac:dyDescent="0.3">
      <c r="A2" s="1">
        <v>1</v>
      </c>
      <c r="B2" s="1">
        <v>2110407</v>
      </c>
      <c r="C2" s="1">
        <v>1</v>
      </c>
      <c r="D2" s="1">
        <v>14</v>
      </c>
      <c r="E2" s="1">
        <v>30</v>
      </c>
      <c r="F2" s="1" t="s">
        <v>9</v>
      </c>
      <c r="G2" s="1">
        <v>-20.79</v>
      </c>
      <c r="H2" s="1">
        <v>13.16</v>
      </c>
    </row>
    <row r="3" spans="1:10" x14ac:dyDescent="0.3">
      <c r="A3" s="1">
        <v>2</v>
      </c>
      <c r="B3" s="1">
        <v>2112635</v>
      </c>
      <c r="C3" s="1">
        <v>2</v>
      </c>
      <c r="D3" s="1">
        <v>18</v>
      </c>
      <c r="E3" s="1">
        <v>30</v>
      </c>
      <c r="F3" s="1" t="s">
        <v>9</v>
      </c>
      <c r="G3" s="1">
        <v>50</v>
      </c>
      <c r="H3" s="1">
        <v>320</v>
      </c>
    </row>
    <row r="4" spans="1:10" x14ac:dyDescent="0.3">
      <c r="A4" s="1">
        <v>3</v>
      </c>
      <c r="B4" s="1">
        <v>2112838</v>
      </c>
      <c r="C4" s="1">
        <v>2</v>
      </c>
      <c r="D4" s="1">
        <v>3</v>
      </c>
      <c r="E4" s="1">
        <v>45</v>
      </c>
      <c r="F4" s="1" t="s">
        <v>9</v>
      </c>
      <c r="G4" s="1">
        <v>42.84</v>
      </c>
      <c r="H4" s="1">
        <v>42.84</v>
      </c>
    </row>
    <row r="5" spans="1:10" x14ac:dyDescent="0.3">
      <c r="A5" s="1">
        <v>4</v>
      </c>
      <c r="B5" s="1">
        <v>2115021</v>
      </c>
      <c r="C5" s="1">
        <v>2</v>
      </c>
      <c r="D5" s="1">
        <v>26</v>
      </c>
      <c r="E5" s="1">
        <v>30</v>
      </c>
      <c r="F5" s="1" t="s">
        <v>9</v>
      </c>
      <c r="G5" s="1">
        <v>42.84</v>
      </c>
      <c r="H5" s="1">
        <v>42.84</v>
      </c>
    </row>
    <row r="6" spans="1:10" x14ac:dyDescent="0.3">
      <c r="A6" s="1">
        <v>5</v>
      </c>
      <c r="B6" s="1">
        <v>2115125</v>
      </c>
      <c r="C6" s="1">
        <v>1</v>
      </c>
      <c r="D6" s="1">
        <v>1</v>
      </c>
      <c r="E6" s="1">
        <v>120</v>
      </c>
      <c r="F6" s="1" t="s">
        <v>9</v>
      </c>
      <c r="G6" s="1">
        <v>42.59</v>
      </c>
      <c r="H6" s="1">
        <v>42.59</v>
      </c>
    </row>
    <row r="7" spans="1:10" x14ac:dyDescent="0.3">
      <c r="A7" s="1">
        <v>6</v>
      </c>
      <c r="B7" s="1">
        <v>2117167</v>
      </c>
      <c r="C7" s="1">
        <v>1</v>
      </c>
      <c r="D7" s="1">
        <v>17</v>
      </c>
      <c r="E7" s="1">
        <v>30</v>
      </c>
      <c r="F7" s="1" t="s">
        <v>11</v>
      </c>
      <c r="G7" s="1">
        <v>42.83</v>
      </c>
      <c r="H7" s="1">
        <v>42.83</v>
      </c>
    </row>
    <row r="8" spans="1:10" x14ac:dyDescent="0.3">
      <c r="A8" s="1">
        <v>7</v>
      </c>
      <c r="B8" s="1">
        <v>2119124</v>
      </c>
      <c r="C8" s="1">
        <v>1</v>
      </c>
      <c r="D8" s="1">
        <v>37</v>
      </c>
      <c r="E8" s="1">
        <v>30</v>
      </c>
      <c r="F8" s="1" t="s">
        <v>9</v>
      </c>
      <c r="G8" s="1">
        <v>31.58</v>
      </c>
      <c r="H8" s="1">
        <v>31.58</v>
      </c>
      <c r="J8" t="s">
        <v>18</v>
      </c>
    </row>
    <row r="9" spans="1:10" x14ac:dyDescent="0.3">
      <c r="A9" s="1">
        <v>9</v>
      </c>
      <c r="B9" s="1">
        <v>2127572</v>
      </c>
      <c r="C9" s="1">
        <v>1</v>
      </c>
      <c r="D9" s="1">
        <v>16</v>
      </c>
      <c r="E9" s="1">
        <v>0</v>
      </c>
      <c r="F9" s="1" t="s">
        <v>11</v>
      </c>
      <c r="G9" s="1">
        <v>-20</v>
      </c>
      <c r="H9" s="1">
        <v>-20</v>
      </c>
      <c r="J9" t="s">
        <v>19</v>
      </c>
    </row>
    <row r="10" spans="1:10" x14ac:dyDescent="0.3">
      <c r="A10" s="1">
        <v>11</v>
      </c>
      <c r="B10" s="1">
        <v>2138169</v>
      </c>
      <c r="C10" s="1">
        <v>2</v>
      </c>
      <c r="D10" s="1">
        <v>1</v>
      </c>
      <c r="E10" s="1">
        <v>30</v>
      </c>
      <c r="F10" s="1" t="s">
        <v>11</v>
      </c>
      <c r="G10" s="1">
        <v>-22.22</v>
      </c>
      <c r="H10" s="1">
        <v>-22.22</v>
      </c>
    </row>
    <row r="11" spans="1:10" x14ac:dyDescent="0.3">
      <c r="A11" s="1">
        <v>12</v>
      </c>
      <c r="B11" s="1">
        <v>2143362</v>
      </c>
      <c r="C11" s="1">
        <v>2</v>
      </c>
      <c r="D11" s="1">
        <v>6</v>
      </c>
      <c r="E11" s="1">
        <v>30</v>
      </c>
      <c r="F11" s="1" t="s">
        <v>11</v>
      </c>
      <c r="G11" s="1">
        <v>240</v>
      </c>
      <c r="H11" s="1">
        <v>220</v>
      </c>
    </row>
    <row r="12" spans="1:10" x14ac:dyDescent="0.3">
      <c r="A12" s="1">
        <v>13</v>
      </c>
      <c r="B12" s="1">
        <v>2151180</v>
      </c>
      <c r="C12" s="1">
        <v>2</v>
      </c>
      <c r="D12" s="1">
        <v>120</v>
      </c>
      <c r="E12" s="1">
        <v>30</v>
      </c>
      <c r="F12" s="1" t="s">
        <v>9</v>
      </c>
      <c r="G12" s="1">
        <v>5.26</v>
      </c>
      <c r="H12" s="1">
        <v>-60.53</v>
      </c>
    </row>
    <row r="13" spans="1:10" x14ac:dyDescent="0.3">
      <c r="A13" s="1">
        <v>14</v>
      </c>
      <c r="B13" s="1">
        <v>2154264</v>
      </c>
      <c r="C13" s="1">
        <v>2</v>
      </c>
      <c r="D13" s="1">
        <v>3</v>
      </c>
      <c r="E13" s="1">
        <v>0</v>
      </c>
      <c r="F13" s="1" t="s">
        <v>9</v>
      </c>
      <c r="G13" s="1">
        <v>28.21</v>
      </c>
      <c r="H13" s="1">
        <v>37.18</v>
      </c>
    </row>
    <row r="14" spans="1:10" x14ac:dyDescent="0.3">
      <c r="A14" s="1">
        <v>15</v>
      </c>
      <c r="B14" s="1">
        <v>2156236</v>
      </c>
      <c r="C14" s="1">
        <v>1</v>
      </c>
      <c r="D14" s="1">
        <v>14</v>
      </c>
      <c r="E14" s="1">
        <v>30</v>
      </c>
      <c r="F14" s="1" t="s">
        <v>9</v>
      </c>
      <c r="G14" s="1">
        <v>50</v>
      </c>
      <c r="H14" s="1">
        <v>287.5</v>
      </c>
    </row>
    <row r="15" spans="1:10" x14ac:dyDescent="0.3">
      <c r="A15" s="1">
        <v>16</v>
      </c>
      <c r="B15" s="1">
        <v>2158703</v>
      </c>
      <c r="C15" s="1">
        <v>2</v>
      </c>
      <c r="D15" s="1">
        <v>44</v>
      </c>
      <c r="E15" s="1">
        <v>75</v>
      </c>
      <c r="F15" s="1" t="s">
        <v>9</v>
      </c>
      <c r="G15" s="1">
        <v>45.45</v>
      </c>
      <c r="H15" s="1">
        <v>60</v>
      </c>
    </row>
    <row r="16" spans="1:10" x14ac:dyDescent="0.3">
      <c r="A16" s="1">
        <v>17</v>
      </c>
      <c r="B16" s="1">
        <v>2161257</v>
      </c>
      <c r="C16" s="1">
        <v>2</v>
      </c>
      <c r="D16" s="1">
        <v>7</v>
      </c>
      <c r="E16" s="1">
        <v>30</v>
      </c>
      <c r="F16" s="1" t="s">
        <v>12</v>
      </c>
      <c r="G16" s="1">
        <v>53.85</v>
      </c>
      <c r="H16" s="1">
        <v>50</v>
      </c>
    </row>
    <row r="17" spans="1:8" x14ac:dyDescent="0.3">
      <c r="A17" s="1">
        <v>18</v>
      </c>
      <c r="B17" s="1">
        <v>2162487</v>
      </c>
      <c r="C17" s="1">
        <v>2</v>
      </c>
      <c r="D17" s="1">
        <v>1</v>
      </c>
      <c r="E17" s="1">
        <v>30</v>
      </c>
      <c r="F17" s="1" t="s">
        <v>12</v>
      </c>
      <c r="G17" s="1">
        <v>-27.31</v>
      </c>
      <c r="H17" s="1">
        <v>-27.31</v>
      </c>
    </row>
    <row r="18" spans="1:8" x14ac:dyDescent="0.3">
      <c r="A18" s="1">
        <v>19</v>
      </c>
      <c r="B18" s="1">
        <v>2166041</v>
      </c>
      <c r="C18" s="1">
        <v>1</v>
      </c>
      <c r="D18" s="1">
        <v>98</v>
      </c>
      <c r="E18" s="1">
        <v>30</v>
      </c>
      <c r="F18" s="1" t="s">
        <v>9</v>
      </c>
      <c r="G18" s="1">
        <v>50</v>
      </c>
      <c r="H18" s="1">
        <v>165.36</v>
      </c>
    </row>
    <row r="19" spans="1:8" x14ac:dyDescent="0.3">
      <c r="A19" s="1">
        <v>20</v>
      </c>
      <c r="B19" s="1">
        <v>2172982</v>
      </c>
      <c r="C19" s="1">
        <v>2</v>
      </c>
      <c r="D19" s="1">
        <v>1</v>
      </c>
      <c r="E19" s="1">
        <v>0</v>
      </c>
      <c r="F19" s="1" t="s">
        <v>9</v>
      </c>
      <c r="G19" s="1">
        <v>30</v>
      </c>
      <c r="H19" s="1">
        <v>30</v>
      </c>
    </row>
    <row r="20" spans="1:8" x14ac:dyDescent="0.3">
      <c r="A20" s="1">
        <v>21</v>
      </c>
      <c r="B20" s="1">
        <v>2173730</v>
      </c>
      <c r="C20" s="1">
        <v>2</v>
      </c>
      <c r="D20" s="1">
        <v>1</v>
      </c>
      <c r="E20" s="1">
        <v>30</v>
      </c>
      <c r="F20" s="1" t="s">
        <v>11</v>
      </c>
      <c r="G20" s="1">
        <v>-13.42</v>
      </c>
      <c r="H20" s="1">
        <v>42.86</v>
      </c>
    </row>
    <row r="21" spans="1:8" x14ac:dyDescent="0.3">
      <c r="A21" s="1">
        <v>22</v>
      </c>
      <c r="B21" s="1">
        <v>2175237</v>
      </c>
      <c r="C21" s="1">
        <v>2</v>
      </c>
      <c r="D21" s="1">
        <v>7</v>
      </c>
      <c r="E21" s="1">
        <v>30</v>
      </c>
      <c r="F21" s="1" t="s">
        <v>11</v>
      </c>
      <c r="G21" s="1">
        <v>221.43</v>
      </c>
      <c r="H21" s="1">
        <v>164.29</v>
      </c>
    </row>
    <row r="22" spans="1:8" x14ac:dyDescent="0.3">
      <c r="A22" s="1">
        <v>23</v>
      </c>
      <c r="B22" s="1">
        <v>2175323</v>
      </c>
      <c r="C22" s="1">
        <v>2</v>
      </c>
      <c r="D22" s="1">
        <v>1</v>
      </c>
      <c r="E22" s="1">
        <v>0</v>
      </c>
      <c r="F22" s="1" t="s">
        <v>12</v>
      </c>
      <c r="G22" s="1">
        <v>42.78</v>
      </c>
      <c r="H22" s="1">
        <v>42.78</v>
      </c>
    </row>
    <row r="23" spans="1:8" x14ac:dyDescent="0.3">
      <c r="A23" s="1">
        <v>24</v>
      </c>
      <c r="B23" s="1">
        <v>2184108</v>
      </c>
      <c r="C23" s="1">
        <v>2</v>
      </c>
      <c r="D23" s="1">
        <v>0</v>
      </c>
      <c r="E23" s="1">
        <v>30</v>
      </c>
      <c r="F23" s="1" t="s">
        <v>11</v>
      </c>
      <c r="G23" s="1">
        <v>37.5</v>
      </c>
      <c r="H23" s="1">
        <v>37.5</v>
      </c>
    </row>
    <row r="24" spans="1:8" x14ac:dyDescent="0.3">
      <c r="A24" s="1">
        <v>25</v>
      </c>
      <c r="B24" s="1">
        <v>2188014</v>
      </c>
      <c r="C24" s="1">
        <v>2</v>
      </c>
      <c r="D24" s="1">
        <v>1</v>
      </c>
      <c r="E24" s="1">
        <v>0</v>
      </c>
      <c r="F24" s="1" t="s">
        <v>9</v>
      </c>
      <c r="G24" s="1">
        <v>42.86</v>
      </c>
      <c r="H24" s="1">
        <v>42.86</v>
      </c>
    </row>
    <row r="25" spans="1:8" x14ac:dyDescent="0.3">
      <c r="A25" s="1">
        <v>26</v>
      </c>
      <c r="B25" s="1">
        <v>2191237</v>
      </c>
      <c r="C25" s="1">
        <v>1</v>
      </c>
      <c r="D25" s="1">
        <v>83</v>
      </c>
      <c r="E25" s="1">
        <v>60</v>
      </c>
      <c r="F25" s="1" t="s">
        <v>9</v>
      </c>
      <c r="G25" s="1">
        <v>25</v>
      </c>
      <c r="H25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Angelin (hr_data)(1)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 John</dc:creator>
  <cp:lastModifiedBy>Angelin John</cp:lastModifiedBy>
  <dcterms:created xsi:type="dcterms:W3CDTF">2023-03-10T12:21:57Z</dcterms:created>
  <dcterms:modified xsi:type="dcterms:W3CDTF">2023-03-10T12:21:57Z</dcterms:modified>
</cp:coreProperties>
</file>